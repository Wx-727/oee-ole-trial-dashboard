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eowx\Downloads\dashboard_data_sources\"/>
    </mc:Choice>
  </mc:AlternateContent>
  <xr:revisionPtr revIDLastSave="0" documentId="13_ncr:1_{3049A005-A424-4FDF-BB73-77460F7BC0B6}" xr6:coauthVersionLast="47" xr6:coauthVersionMax="47" xr10:uidLastSave="{00000000-0000-0000-0000-000000000000}"/>
  <bookViews>
    <workbookView xWindow="-108" yWindow="-108" windowWidth="23256" windowHeight="13896" xr2:uid="{186AF9EB-4390-4F05-89F9-EE8294BBC6DB}"/>
  </bookViews>
  <sheets>
    <sheet name="N 27 Mar" sheetId="7" r:id="rId1"/>
    <sheet name="D 27 Mar" sheetId="1" r:id="rId2"/>
    <sheet name="N 26 Mar" sheetId="2" r:id="rId3"/>
    <sheet name="D 26 Mar " sheetId="3" r:id="rId4"/>
    <sheet name="N 25 Mar" sheetId="4" r:id="rId5"/>
    <sheet name="D 25 Mar" sheetId="5" r:id="rId6"/>
    <sheet name="N 24 Mar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C54" i="7" l="1"/>
  <c r="AA54" i="7"/>
  <c r="Z54" i="7"/>
  <c r="Y54" i="7"/>
  <c r="X54" i="7"/>
  <c r="M54" i="7"/>
  <c r="K54" i="7"/>
  <c r="AM53" i="7"/>
  <c r="AL53" i="7"/>
  <c r="AK53" i="7"/>
  <c r="AJ53" i="7"/>
  <c r="AI53" i="7"/>
  <c r="AH53" i="7"/>
  <c r="AG53" i="7"/>
  <c r="AF53" i="7"/>
  <c r="AE53" i="7"/>
  <c r="AD53" i="7"/>
  <c r="AC53" i="7"/>
  <c r="AB53" i="7"/>
  <c r="AB54" i="7" s="1"/>
  <c r="AA53" i="7"/>
  <c r="Z53" i="7"/>
  <c r="Y53" i="7"/>
  <c r="X53" i="7"/>
  <c r="W53" i="7"/>
  <c r="V53" i="7"/>
  <c r="U53" i="7"/>
  <c r="T53" i="7"/>
  <c r="S53" i="7"/>
  <c r="R53" i="7"/>
  <c r="Q53" i="7"/>
  <c r="P53" i="7"/>
  <c r="O53" i="7"/>
  <c r="N53" i="7"/>
  <c r="M53" i="7"/>
  <c r="K53" i="7"/>
  <c r="L52" i="7"/>
  <c r="I51" i="7"/>
  <c r="L51" i="7" s="1"/>
  <c r="L50" i="7"/>
  <c r="I50" i="7"/>
  <c r="L49" i="7"/>
  <c r="I49" i="7"/>
  <c r="I48" i="7"/>
  <c r="L48" i="7" s="1"/>
  <c r="I47" i="7"/>
  <c r="L47" i="7" s="1"/>
  <c r="I46" i="7"/>
  <c r="L46" i="7" s="1"/>
  <c r="I45" i="7"/>
  <c r="L45" i="7" s="1"/>
  <c r="I44" i="7"/>
  <c r="L44" i="7" s="1"/>
  <c r="I43" i="7"/>
  <c r="L43" i="7" s="1"/>
  <c r="L42" i="7"/>
  <c r="I42" i="7"/>
  <c r="L41" i="7"/>
  <c r="I41" i="7"/>
  <c r="I40" i="7"/>
  <c r="L40" i="7" s="1"/>
  <c r="I39" i="7"/>
  <c r="L39" i="7" s="1"/>
  <c r="I38" i="7"/>
  <c r="L38" i="7" s="1"/>
  <c r="I37" i="7"/>
  <c r="L37" i="7" s="1"/>
  <c r="I36" i="7"/>
  <c r="L36" i="7" s="1"/>
  <c r="I35" i="7"/>
  <c r="L35" i="7" s="1"/>
  <c r="L34" i="7"/>
  <c r="I34" i="7"/>
  <c r="L33" i="7"/>
  <c r="I33" i="7"/>
  <c r="I32" i="7"/>
  <c r="L32" i="7" s="1"/>
  <c r="I31" i="7"/>
  <c r="L31" i="7" s="1"/>
  <c r="I30" i="7"/>
  <c r="L30" i="7" s="1"/>
  <c r="I29" i="7"/>
  <c r="L29" i="7" s="1"/>
  <c r="I28" i="7"/>
  <c r="L28" i="7" s="1"/>
  <c r="I27" i="7"/>
  <c r="L27" i="7" s="1"/>
  <c r="L26" i="7"/>
  <c r="I26" i="7"/>
  <c r="L25" i="7"/>
  <c r="I25" i="7"/>
  <c r="I24" i="7"/>
  <c r="L24" i="7" s="1"/>
  <c r="I23" i="7"/>
  <c r="L23" i="7" s="1"/>
  <c r="I22" i="7"/>
  <c r="L22" i="7" s="1"/>
  <c r="I21" i="7"/>
  <c r="L21" i="7" s="1"/>
  <c r="I20" i="7"/>
  <c r="L20" i="7" s="1"/>
  <c r="I19" i="7"/>
  <c r="AM18" i="7"/>
  <c r="AL18" i="7"/>
  <c r="AK18" i="7"/>
  <c r="AJ18" i="7"/>
  <c r="AI18" i="7"/>
  <c r="AH18" i="7"/>
  <c r="AG18" i="7"/>
  <c r="AF18" i="7"/>
  <c r="AE18" i="7"/>
  <c r="AE54" i="7" s="1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O54" i="7" s="1"/>
  <c r="N18" i="7"/>
  <c r="M18" i="7"/>
  <c r="K18" i="7"/>
  <c r="I16" i="7"/>
  <c r="L16" i="7" s="1"/>
  <c r="L18" i="7" s="1"/>
  <c r="AM15" i="7"/>
  <c r="AM54" i="7" s="1"/>
  <c r="AL15" i="7"/>
  <c r="AL54" i="7" s="1"/>
  <c r="AK15" i="7"/>
  <c r="AK54" i="7" s="1"/>
  <c r="AJ15" i="7"/>
  <c r="AJ54" i="7" s="1"/>
  <c r="AI15" i="7"/>
  <c r="AI54" i="7" s="1"/>
  <c r="AH15" i="7"/>
  <c r="AH54" i="7" s="1"/>
  <c r="AG15" i="7"/>
  <c r="AG54" i="7" s="1"/>
  <c r="AF15" i="7"/>
  <c r="AF54" i="7" s="1"/>
  <c r="AE15" i="7"/>
  <c r="AD15" i="7"/>
  <c r="AD54" i="7" s="1"/>
  <c r="AC15" i="7"/>
  <c r="AB15" i="7"/>
  <c r="AA15" i="7"/>
  <c r="Z15" i="7"/>
  <c r="Y15" i="7"/>
  <c r="X15" i="7"/>
  <c r="W15" i="7"/>
  <c r="W54" i="7" s="1"/>
  <c r="V15" i="7"/>
  <c r="V54" i="7" s="1"/>
  <c r="U15" i="7"/>
  <c r="U54" i="7" s="1"/>
  <c r="T15" i="7"/>
  <c r="T54" i="7" s="1"/>
  <c r="S15" i="7"/>
  <c r="S54" i="7" s="1"/>
  <c r="R15" i="7"/>
  <c r="R54" i="7" s="1"/>
  <c r="Q15" i="7"/>
  <c r="Q54" i="7" s="1"/>
  <c r="P15" i="7"/>
  <c r="P54" i="7" s="1"/>
  <c r="O15" i="7"/>
  <c r="N15" i="7"/>
  <c r="N54" i="7" s="1"/>
  <c r="M15" i="7"/>
  <c r="K15" i="7"/>
  <c r="L14" i="7"/>
  <c r="I14" i="7"/>
  <c r="L13" i="7"/>
  <c r="I13" i="7"/>
  <c r="I12" i="7"/>
  <c r="L12" i="7" s="1"/>
  <c r="I11" i="7"/>
  <c r="L11" i="7" s="1"/>
  <c r="L10" i="7"/>
  <c r="I10" i="7"/>
  <c r="I9" i="7"/>
  <c r="L9" i="7" s="1"/>
  <c r="L8" i="7"/>
  <c r="I8" i="7"/>
  <c r="L7" i="7"/>
  <c r="I7" i="7"/>
  <c r="L6" i="7"/>
  <c r="I6" i="7"/>
  <c r="L5" i="7"/>
  <c r="I5" i="7"/>
  <c r="I4" i="7"/>
  <c r="K110" i="6"/>
  <c r="Q103" i="6"/>
  <c r="AM102" i="6"/>
  <c r="AL102" i="6"/>
  <c r="AK102" i="6"/>
  <c r="AJ102" i="6"/>
  <c r="AI102" i="6"/>
  <c r="AH102" i="6"/>
  <c r="AG102" i="6"/>
  <c r="AF102" i="6"/>
  <c r="AD102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K102" i="6"/>
  <c r="L101" i="6"/>
  <c r="L100" i="6"/>
  <c r="I100" i="6"/>
  <c r="L99" i="6"/>
  <c r="I99" i="6"/>
  <c r="L98" i="6"/>
  <c r="I98" i="6"/>
  <c r="L97" i="6"/>
  <c r="I97" i="6"/>
  <c r="I96" i="6"/>
  <c r="L96" i="6" s="1"/>
  <c r="I95" i="6"/>
  <c r="L95" i="6" s="1"/>
  <c r="L94" i="6"/>
  <c r="I94" i="6"/>
  <c r="L93" i="6"/>
  <c r="I93" i="6"/>
  <c r="L92" i="6"/>
  <c r="I92" i="6"/>
  <c r="L91" i="6"/>
  <c r="I91" i="6"/>
  <c r="L90" i="6"/>
  <c r="I90" i="6"/>
  <c r="L89" i="6"/>
  <c r="I89" i="6"/>
  <c r="I88" i="6"/>
  <c r="L88" i="6" s="1"/>
  <c r="I87" i="6"/>
  <c r="L87" i="6" s="1"/>
  <c r="L86" i="6"/>
  <c r="I86" i="6"/>
  <c r="I85" i="6"/>
  <c r="L85" i="6" s="1"/>
  <c r="L84" i="6"/>
  <c r="I84" i="6"/>
  <c r="L83" i="6"/>
  <c r="I83" i="6"/>
  <c r="L82" i="6"/>
  <c r="I82" i="6"/>
  <c r="L81" i="6"/>
  <c r="I81" i="6"/>
  <c r="I80" i="6"/>
  <c r="L80" i="6" s="1"/>
  <c r="I79" i="6"/>
  <c r="L79" i="6" s="1"/>
  <c r="L78" i="6"/>
  <c r="I78" i="6"/>
  <c r="L77" i="6"/>
  <c r="I77" i="6"/>
  <c r="L76" i="6"/>
  <c r="I76" i="6"/>
  <c r="L75" i="6"/>
  <c r="I75" i="6"/>
  <c r="L74" i="6"/>
  <c r="I74" i="6"/>
  <c r="L73" i="6"/>
  <c r="I73" i="6"/>
  <c r="I72" i="6"/>
  <c r="L72" i="6" s="1"/>
  <c r="I71" i="6"/>
  <c r="L71" i="6" s="1"/>
  <c r="L70" i="6"/>
  <c r="I70" i="6"/>
  <c r="L69" i="6"/>
  <c r="I69" i="6"/>
  <c r="L68" i="6"/>
  <c r="I68" i="6"/>
  <c r="L67" i="6"/>
  <c r="I67" i="6"/>
  <c r="L66" i="6"/>
  <c r="I66" i="6"/>
  <c r="L65" i="6"/>
  <c r="I65" i="6"/>
  <c r="I64" i="6"/>
  <c r="L64" i="6" s="1"/>
  <c r="I63" i="6"/>
  <c r="L63" i="6" s="1"/>
  <c r="L62" i="6"/>
  <c r="I62" i="6"/>
  <c r="I61" i="6"/>
  <c r="L61" i="6" s="1"/>
  <c r="L60" i="6"/>
  <c r="I60" i="6"/>
  <c r="L59" i="6"/>
  <c r="I59" i="6"/>
  <c r="L58" i="6"/>
  <c r="I58" i="6"/>
  <c r="L57" i="6"/>
  <c r="I57" i="6"/>
  <c r="I56" i="6"/>
  <c r="L56" i="6" s="1"/>
  <c r="I55" i="6"/>
  <c r="L55" i="6" s="1"/>
  <c r="L54" i="6"/>
  <c r="I54" i="6"/>
  <c r="I53" i="6"/>
  <c r="L53" i="6" s="1"/>
  <c r="L52" i="6"/>
  <c r="I52" i="6"/>
  <c r="L51" i="6"/>
  <c r="I51" i="6"/>
  <c r="L50" i="6"/>
  <c r="I50" i="6"/>
  <c r="L49" i="6"/>
  <c r="I49" i="6"/>
  <c r="I48" i="6"/>
  <c r="L48" i="6" s="1"/>
  <c r="I47" i="6"/>
  <c r="L47" i="6" s="1"/>
  <c r="L46" i="6"/>
  <c r="I46" i="6"/>
  <c r="I45" i="6"/>
  <c r="L45" i="6" s="1"/>
  <c r="L44" i="6"/>
  <c r="I44" i="6"/>
  <c r="L43" i="6"/>
  <c r="I43" i="6"/>
  <c r="L42" i="6"/>
  <c r="I42" i="6"/>
  <c r="L41" i="6"/>
  <c r="I41" i="6"/>
  <c r="I40" i="6"/>
  <c r="L40" i="6" s="1"/>
  <c r="I39" i="6"/>
  <c r="L39" i="6" s="1"/>
  <c r="L38" i="6"/>
  <c r="I38" i="6"/>
  <c r="L37" i="6"/>
  <c r="I37" i="6"/>
  <c r="L36" i="6"/>
  <c r="I36" i="6"/>
  <c r="L35" i="6"/>
  <c r="I35" i="6"/>
  <c r="L34" i="6"/>
  <c r="I34" i="6"/>
  <c r="L33" i="6"/>
  <c r="I33" i="6"/>
  <c r="I32" i="6"/>
  <c r="L32" i="6" s="1"/>
  <c r="I31" i="6"/>
  <c r="L31" i="6" s="1"/>
  <c r="L30" i="6"/>
  <c r="I30" i="6"/>
  <c r="L29" i="6"/>
  <c r="I29" i="6"/>
  <c r="L28" i="6"/>
  <c r="I28" i="6"/>
  <c r="L27" i="6"/>
  <c r="I27" i="6"/>
  <c r="L26" i="6"/>
  <c r="I26" i="6"/>
  <c r="L25" i="6"/>
  <c r="I25" i="6"/>
  <c r="I24" i="6"/>
  <c r="L24" i="6" s="1"/>
  <c r="I23" i="6"/>
  <c r="L23" i="6" s="1"/>
  <c r="L22" i="6"/>
  <c r="I22" i="6"/>
  <c r="I21" i="6"/>
  <c r="L21" i="6" s="1"/>
  <c r="L20" i="6"/>
  <c r="I20" i="6"/>
  <c r="L19" i="6"/>
  <c r="I19" i="6"/>
  <c r="L18" i="6"/>
  <c r="I18" i="6"/>
  <c r="I17" i="6"/>
  <c r="AM16" i="6"/>
  <c r="AL16" i="6"/>
  <c r="AK16" i="6"/>
  <c r="AJ16" i="6"/>
  <c r="AI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L14" i="6"/>
  <c r="I14" i="6"/>
  <c r="AM13" i="6"/>
  <c r="AM103" i="6" s="1"/>
  <c r="AL13" i="6"/>
  <c r="AL103" i="6" s="1"/>
  <c r="AK13" i="6"/>
  <c r="AK103" i="6" s="1"/>
  <c r="AJ13" i="6"/>
  <c r="AJ103" i="6" s="1"/>
  <c r="AI13" i="6"/>
  <c r="AI103" i="6" s="1"/>
  <c r="AH13" i="6"/>
  <c r="AH103" i="6" s="1"/>
  <c r="AG13" i="6"/>
  <c r="AG103" i="6" s="1"/>
  <c r="AF13" i="6"/>
  <c r="AF103" i="6" s="1"/>
  <c r="AE13" i="6"/>
  <c r="AD13" i="6"/>
  <c r="AD103" i="6" s="1"/>
  <c r="AC13" i="6"/>
  <c r="AC103" i="6" s="1"/>
  <c r="AB13" i="6"/>
  <c r="AB103" i="6" s="1"/>
  <c r="AA13" i="6"/>
  <c r="AA103" i="6" s="1"/>
  <c r="Z13" i="6"/>
  <c r="Z103" i="6" s="1"/>
  <c r="Y13" i="6"/>
  <c r="Y103" i="6" s="1"/>
  <c r="X13" i="6"/>
  <c r="X103" i="6" s="1"/>
  <c r="W13" i="6"/>
  <c r="W103" i="6" s="1"/>
  <c r="V13" i="6"/>
  <c r="V103" i="6" s="1"/>
  <c r="U13" i="6"/>
  <c r="U103" i="6" s="1"/>
  <c r="T13" i="6"/>
  <c r="T103" i="6" s="1"/>
  <c r="S13" i="6"/>
  <c r="S103" i="6" s="1"/>
  <c r="R13" i="6"/>
  <c r="R103" i="6" s="1"/>
  <c r="Q13" i="6"/>
  <c r="P13" i="6"/>
  <c r="P103" i="6" s="1"/>
  <c r="O13" i="6"/>
  <c r="N13" i="6"/>
  <c r="N103" i="6" s="1"/>
  <c r="M13" i="6"/>
  <c r="M103" i="6" s="1"/>
  <c r="K13" i="6"/>
  <c r="I12" i="6"/>
  <c r="L12" i="6" s="1"/>
  <c r="L11" i="6"/>
  <c r="I11" i="6"/>
  <c r="I10" i="6"/>
  <c r="L10" i="6" s="1"/>
  <c r="I9" i="6"/>
  <c r="L9" i="6" s="1"/>
  <c r="I8" i="6"/>
  <c r="L8" i="6" s="1"/>
  <c r="I7" i="6"/>
  <c r="L7" i="6" s="1"/>
  <c r="L6" i="6"/>
  <c r="I6" i="6"/>
  <c r="I5" i="6"/>
  <c r="L5" i="6" s="1"/>
  <c r="I4" i="6"/>
  <c r="AE63" i="5"/>
  <c r="AB63" i="5"/>
  <c r="AA63" i="5"/>
  <c r="AM62" i="5"/>
  <c r="AL62" i="5"/>
  <c r="AG62" i="5"/>
  <c r="AF62" i="5"/>
  <c r="AD62" i="5"/>
  <c r="AC62" i="5"/>
  <c r="AB62" i="5"/>
  <c r="AA62" i="5"/>
  <c r="Y62" i="5"/>
  <c r="W62" i="5"/>
  <c r="V62" i="5"/>
  <c r="U62" i="5"/>
  <c r="T62" i="5"/>
  <c r="S62" i="5"/>
  <c r="R62" i="5"/>
  <c r="Q62" i="5"/>
  <c r="P62" i="5"/>
  <c r="O62" i="5"/>
  <c r="N62" i="5"/>
  <c r="M62" i="5"/>
  <c r="I61" i="5"/>
  <c r="L61" i="5" s="1"/>
  <c r="L60" i="5"/>
  <c r="I60" i="5"/>
  <c r="Z59" i="5"/>
  <c r="Y59" i="5"/>
  <c r="X59" i="5"/>
  <c r="L59" i="5"/>
  <c r="K59" i="5"/>
  <c r="I59" i="5"/>
  <c r="Z58" i="5"/>
  <c r="Y58" i="5"/>
  <c r="X58" i="5"/>
  <c r="L58" i="5"/>
  <c r="I58" i="5"/>
  <c r="Z57" i="5"/>
  <c r="Z62" i="5" s="1"/>
  <c r="Y57" i="5"/>
  <c r="X57" i="5"/>
  <c r="X62" i="5" s="1"/>
  <c r="L57" i="5"/>
  <c r="K57" i="5"/>
  <c r="K62" i="5" s="1"/>
  <c r="I57" i="5"/>
  <c r="L56" i="5"/>
  <c r="I56" i="5"/>
  <c r="L55" i="5"/>
  <c r="I55" i="5"/>
  <c r="L54" i="5"/>
  <c r="I54" i="5"/>
  <c r="I53" i="5"/>
  <c r="L53" i="5" s="1"/>
  <c r="AK52" i="5"/>
  <c r="AK62" i="5" s="1"/>
  <c r="AJ52" i="5"/>
  <c r="AJ62" i="5" s="1"/>
  <c r="AI52" i="5"/>
  <c r="AI62" i="5" s="1"/>
  <c r="AH52" i="5"/>
  <c r="AH62" i="5" s="1"/>
  <c r="I52" i="5"/>
  <c r="L52" i="5" s="1"/>
  <c r="L51" i="5"/>
  <c r="I51" i="5"/>
  <c r="L50" i="5"/>
  <c r="I50" i="5"/>
  <c r="L49" i="5"/>
  <c r="I49" i="5"/>
  <c r="L48" i="5"/>
  <c r="I48" i="5"/>
  <c r="I47" i="5"/>
  <c r="L47" i="5" s="1"/>
  <c r="I46" i="5"/>
  <c r="L46" i="5" s="1"/>
  <c r="L45" i="5"/>
  <c r="I45" i="5"/>
  <c r="L44" i="5"/>
  <c r="I44" i="5"/>
  <c r="L43" i="5"/>
  <c r="I43" i="5"/>
  <c r="L42" i="5"/>
  <c r="I42" i="5"/>
  <c r="L41" i="5"/>
  <c r="I41" i="5"/>
  <c r="L40" i="5"/>
  <c r="I40" i="5"/>
  <c r="I39" i="5"/>
  <c r="L39" i="5" s="1"/>
  <c r="I38" i="5"/>
  <c r="L38" i="5" s="1"/>
  <c r="L37" i="5"/>
  <c r="I37" i="5"/>
  <c r="L36" i="5"/>
  <c r="I36" i="5"/>
  <c r="L35" i="5"/>
  <c r="I35" i="5"/>
  <c r="L34" i="5"/>
  <c r="I34" i="5"/>
  <c r="L33" i="5"/>
  <c r="I33" i="5"/>
  <c r="L32" i="5"/>
  <c r="I32" i="5"/>
  <c r="I31" i="5"/>
  <c r="L31" i="5" s="1"/>
  <c r="L30" i="5"/>
  <c r="I30" i="5"/>
  <c r="I29" i="5"/>
  <c r="L29" i="5" s="1"/>
  <c r="L28" i="5"/>
  <c r="I28" i="5"/>
  <c r="L27" i="5"/>
  <c r="I27" i="5"/>
  <c r="L26" i="5"/>
  <c r="I26" i="5"/>
  <c r="L25" i="5"/>
  <c r="I25" i="5"/>
  <c r="L24" i="5"/>
  <c r="I24" i="5"/>
  <c r="I23" i="5"/>
  <c r="L23" i="5" s="1"/>
  <c r="I22" i="5"/>
  <c r="L22" i="5" s="1"/>
  <c r="I21" i="5"/>
  <c r="L21" i="5" s="1"/>
  <c r="L20" i="5"/>
  <c r="I20" i="5"/>
  <c r="L19" i="5"/>
  <c r="I19" i="5"/>
  <c r="L18" i="5"/>
  <c r="I18" i="5"/>
  <c r="L17" i="5"/>
  <c r="I17" i="5"/>
  <c r="L16" i="5"/>
  <c r="I16" i="5"/>
  <c r="I15" i="5"/>
  <c r="L15" i="5" s="1"/>
  <c r="AM14" i="5"/>
  <c r="AM63" i="5" s="1"/>
  <c r="AL14" i="5"/>
  <c r="AK14" i="5"/>
  <c r="AJ14" i="5"/>
  <c r="AI14" i="5"/>
  <c r="AI63" i="5" s="1"/>
  <c r="AH14" i="5"/>
  <c r="AH63" i="5" s="1"/>
  <c r="AG14" i="5"/>
  <c r="AG63" i="5" s="1"/>
  <c r="AF14" i="5"/>
  <c r="AD14" i="5"/>
  <c r="AC14" i="5"/>
  <c r="AB14" i="5"/>
  <c r="AA14" i="5"/>
  <c r="Z14" i="5"/>
  <c r="Y14" i="5"/>
  <c r="X14" i="5"/>
  <c r="W14" i="5"/>
  <c r="V14" i="5"/>
  <c r="U14" i="5"/>
  <c r="T14" i="5"/>
  <c r="S14" i="5"/>
  <c r="S63" i="5" s="1"/>
  <c r="R14" i="5"/>
  <c r="R63" i="5" s="1"/>
  <c r="Q14" i="5"/>
  <c r="Q63" i="5" s="1"/>
  <c r="P14" i="5"/>
  <c r="P63" i="5" s="1"/>
  <c r="O14" i="5"/>
  <c r="N14" i="5"/>
  <c r="M14" i="5"/>
  <c r="L13" i="5"/>
  <c r="I13" i="5"/>
  <c r="I12" i="5"/>
  <c r="L12" i="5" s="1"/>
  <c r="L11" i="5"/>
  <c r="I11" i="5"/>
  <c r="I10" i="5"/>
  <c r="L10" i="5" s="1"/>
  <c r="K9" i="5"/>
  <c r="K14" i="5" s="1"/>
  <c r="I9" i="5"/>
  <c r="I8" i="5"/>
  <c r="L8" i="5" s="1"/>
  <c r="AM7" i="5"/>
  <c r="AL7" i="5"/>
  <c r="AL63" i="5" s="1"/>
  <c r="AK7" i="5"/>
  <c r="AJ7" i="5"/>
  <c r="AI7" i="5"/>
  <c r="AH7" i="5"/>
  <c r="AG7" i="5"/>
  <c r="AF7" i="5"/>
  <c r="AF63" i="5" s="1"/>
  <c r="AD7" i="5"/>
  <c r="AD63" i="5" s="1"/>
  <c r="AC7" i="5"/>
  <c r="AC63" i="5" s="1"/>
  <c r="AB7" i="5"/>
  <c r="AA7" i="5"/>
  <c r="Z7" i="5"/>
  <c r="Z63" i="5" s="1"/>
  <c r="Y7" i="5"/>
  <c r="Y63" i="5" s="1"/>
  <c r="X7" i="5"/>
  <c r="W7" i="5"/>
  <c r="W63" i="5" s="1"/>
  <c r="V7" i="5"/>
  <c r="V63" i="5" s="1"/>
  <c r="U7" i="5"/>
  <c r="U63" i="5" s="1"/>
  <c r="T7" i="5"/>
  <c r="S7" i="5"/>
  <c r="R7" i="5"/>
  <c r="Q7" i="5"/>
  <c r="P7" i="5"/>
  <c r="O7" i="5"/>
  <c r="O63" i="5" s="1"/>
  <c r="N7" i="5"/>
  <c r="N63" i="5" s="1"/>
  <c r="M7" i="5"/>
  <c r="M63" i="5" s="1"/>
  <c r="K7" i="5"/>
  <c r="I6" i="5"/>
  <c r="L6" i="5" s="1"/>
  <c r="I5" i="5"/>
  <c r="L5" i="5" s="1"/>
  <c r="I4" i="5"/>
  <c r="L4" i="5" s="1"/>
  <c r="L7" i="5" s="1"/>
  <c r="K66" i="4"/>
  <c r="AI59" i="4"/>
  <c r="AA59" i="4"/>
  <c r="S59" i="4"/>
  <c r="K59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K58" i="4"/>
  <c r="L57" i="4"/>
  <c r="L56" i="4"/>
  <c r="I56" i="4"/>
  <c r="I55" i="4"/>
  <c r="L55" i="4" s="1"/>
  <c r="L54" i="4"/>
  <c r="I54" i="4"/>
  <c r="I53" i="4"/>
  <c r="L53" i="4" s="1"/>
  <c r="I52" i="4"/>
  <c r="L52" i="4" s="1"/>
  <c r="I51" i="4"/>
  <c r="L51" i="4" s="1"/>
  <c r="L50" i="4"/>
  <c r="I50" i="4"/>
  <c r="I49" i="4"/>
  <c r="L49" i="4" s="1"/>
  <c r="L47" i="4"/>
  <c r="I47" i="4"/>
  <c r="I46" i="4"/>
  <c r="L46" i="4" s="1"/>
  <c r="L45" i="4"/>
  <c r="I45" i="4"/>
  <c r="I44" i="4"/>
  <c r="L44" i="4" s="1"/>
  <c r="I43" i="4"/>
  <c r="L43" i="4" s="1"/>
  <c r="I42" i="4"/>
  <c r="L42" i="4" s="1"/>
  <c r="I41" i="4"/>
  <c r="L41" i="4" s="1"/>
  <c r="L40" i="4"/>
  <c r="I40" i="4"/>
  <c r="I39" i="4"/>
  <c r="L39" i="4" s="1"/>
  <c r="I38" i="4"/>
  <c r="L38" i="4" s="1"/>
  <c r="L37" i="4"/>
  <c r="I37" i="4"/>
  <c r="I36" i="4"/>
  <c r="L36" i="4" s="1"/>
  <c r="I35" i="4"/>
  <c r="L35" i="4" s="1"/>
  <c r="L34" i="4"/>
  <c r="I34" i="4"/>
  <c r="L33" i="4"/>
  <c r="I33" i="4"/>
  <c r="L32" i="4"/>
  <c r="I32" i="4"/>
  <c r="I31" i="4"/>
  <c r="L31" i="4" s="1"/>
  <c r="I30" i="4"/>
  <c r="L30" i="4" s="1"/>
  <c r="L29" i="4"/>
  <c r="I29" i="4"/>
  <c r="I28" i="4"/>
  <c r="L28" i="4" s="1"/>
  <c r="I26" i="4"/>
  <c r="L26" i="4" s="1"/>
  <c r="I25" i="4"/>
  <c r="L25" i="4" s="1"/>
  <c r="L24" i="4"/>
  <c r="I24" i="4"/>
  <c r="L23" i="4"/>
  <c r="I23" i="4"/>
  <c r="I22" i="4"/>
  <c r="L22" i="4" s="1"/>
  <c r="I21" i="4"/>
  <c r="L21" i="4" s="1"/>
  <c r="I20" i="4"/>
  <c r="AM19" i="4"/>
  <c r="AL19" i="4"/>
  <c r="AK19" i="4"/>
  <c r="AK59" i="4" s="1"/>
  <c r="AJ19" i="4"/>
  <c r="AJ59" i="4" s="1"/>
  <c r="AI19" i="4"/>
  <c r="AH19" i="4"/>
  <c r="AH59" i="4" s="1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U59" i="4" s="1"/>
  <c r="T19" i="4"/>
  <c r="T59" i="4" s="1"/>
  <c r="S19" i="4"/>
  <c r="R19" i="4"/>
  <c r="Q19" i="4"/>
  <c r="P19" i="4"/>
  <c r="O19" i="4"/>
  <c r="O59" i="4" s="1"/>
  <c r="N19" i="4"/>
  <c r="M19" i="4"/>
  <c r="K19" i="4"/>
  <c r="I17" i="4"/>
  <c r="L17" i="4" s="1"/>
  <c r="L19" i="4" s="1"/>
  <c r="AM16" i="4"/>
  <c r="AM59" i="4" s="1"/>
  <c r="AL16" i="4"/>
  <c r="AL59" i="4" s="1"/>
  <c r="AK16" i="4"/>
  <c r="AJ16" i="4"/>
  <c r="AI16" i="4"/>
  <c r="AH16" i="4"/>
  <c r="AG16" i="4"/>
  <c r="AG59" i="4" s="1"/>
  <c r="AF16" i="4"/>
  <c r="AF59" i="4" s="1"/>
  <c r="AE16" i="4"/>
  <c r="AE59" i="4" s="1"/>
  <c r="AD16" i="4"/>
  <c r="AD59" i="4" s="1"/>
  <c r="AC16" i="4"/>
  <c r="AC59" i="4" s="1"/>
  <c r="AB16" i="4"/>
  <c r="AB59" i="4" s="1"/>
  <c r="AA16" i="4"/>
  <c r="Z16" i="4"/>
  <c r="Y16" i="4"/>
  <c r="X16" i="4"/>
  <c r="W16" i="4"/>
  <c r="W59" i="4" s="1"/>
  <c r="V16" i="4"/>
  <c r="V59" i="4" s="1"/>
  <c r="U16" i="4"/>
  <c r="T16" i="4"/>
  <c r="S16" i="4"/>
  <c r="R16" i="4"/>
  <c r="R59" i="4" s="1"/>
  <c r="Q16" i="4"/>
  <c r="Q59" i="4" s="1"/>
  <c r="P16" i="4"/>
  <c r="P59" i="4" s="1"/>
  <c r="O16" i="4"/>
  <c r="N16" i="4"/>
  <c r="N59" i="4" s="1"/>
  <c r="M16" i="4"/>
  <c r="M59" i="4" s="1"/>
  <c r="K16" i="4"/>
  <c r="L15" i="4"/>
  <c r="I15" i="4"/>
  <c r="L14" i="4"/>
  <c r="I14" i="4"/>
  <c r="L13" i="4"/>
  <c r="I13" i="4"/>
  <c r="I12" i="4"/>
  <c r="L12" i="4" s="1"/>
  <c r="I11" i="4"/>
  <c r="L11" i="4" s="1"/>
  <c r="I10" i="4"/>
  <c r="L10" i="4" s="1"/>
  <c r="I9" i="4"/>
  <c r="L9" i="4" s="1"/>
  <c r="L8" i="4"/>
  <c r="L16" i="4" s="1"/>
  <c r="I8" i="4"/>
  <c r="L7" i="4"/>
  <c r="I7" i="4"/>
  <c r="L6" i="4"/>
  <c r="I6" i="4"/>
  <c r="I5" i="4"/>
  <c r="AJ101" i="3"/>
  <c r="AI101" i="3"/>
  <c r="AE101" i="3"/>
  <c r="AC101" i="3"/>
  <c r="AB101" i="3"/>
  <c r="T101" i="3"/>
  <c r="S101" i="3"/>
  <c r="M101" i="3"/>
  <c r="AM100" i="3"/>
  <c r="AL100" i="3"/>
  <c r="AK100" i="3"/>
  <c r="AJ100" i="3"/>
  <c r="AI100" i="3"/>
  <c r="AH100" i="3"/>
  <c r="AG100" i="3"/>
  <c r="AF100" i="3"/>
  <c r="AD100" i="3"/>
  <c r="AD101" i="3" s="1"/>
  <c r="AC100" i="3"/>
  <c r="AB100" i="3"/>
  <c r="AA100" i="3"/>
  <c r="Z100" i="3"/>
  <c r="Y100" i="3"/>
  <c r="X100" i="3"/>
  <c r="W100" i="3"/>
  <c r="V100" i="3"/>
  <c r="U100" i="3"/>
  <c r="T100" i="3"/>
  <c r="S100" i="3"/>
  <c r="R100" i="3"/>
  <c r="Q100" i="3"/>
  <c r="P100" i="3"/>
  <c r="O100" i="3"/>
  <c r="N100" i="3"/>
  <c r="M100" i="3"/>
  <c r="L99" i="3"/>
  <c r="I99" i="3"/>
  <c r="L98" i="3"/>
  <c r="I98" i="3"/>
  <c r="L97" i="3"/>
  <c r="I97" i="3"/>
  <c r="L96" i="3"/>
  <c r="I96" i="3"/>
  <c r="I95" i="3"/>
  <c r="L95" i="3" s="1"/>
  <c r="I94" i="3"/>
  <c r="L94" i="3" s="1"/>
  <c r="L93" i="3"/>
  <c r="I93" i="3"/>
  <c r="L92" i="3"/>
  <c r="K92" i="3"/>
  <c r="I92" i="3"/>
  <c r="L91" i="3"/>
  <c r="K91" i="3"/>
  <c r="I91" i="3"/>
  <c r="L90" i="3"/>
  <c r="K90" i="3"/>
  <c r="I90" i="3"/>
  <c r="K89" i="3"/>
  <c r="L89" i="3" s="1"/>
  <c r="I89" i="3"/>
  <c r="K88" i="3"/>
  <c r="K100" i="3" s="1"/>
  <c r="I88" i="3"/>
  <c r="L88" i="3" s="1"/>
  <c r="L87" i="3"/>
  <c r="I87" i="3"/>
  <c r="L86" i="3"/>
  <c r="I86" i="3"/>
  <c r="I85" i="3"/>
  <c r="L85" i="3" s="1"/>
  <c r="I84" i="3"/>
  <c r="L84" i="3" s="1"/>
  <c r="L83" i="3"/>
  <c r="I83" i="3"/>
  <c r="I82" i="3"/>
  <c r="L82" i="3" s="1"/>
  <c r="I81" i="3"/>
  <c r="L81" i="3" s="1"/>
  <c r="I80" i="3"/>
  <c r="L80" i="3" s="1"/>
  <c r="L79" i="3"/>
  <c r="I79" i="3"/>
  <c r="I78" i="3"/>
  <c r="L78" i="3" s="1"/>
  <c r="L77" i="3"/>
  <c r="I77" i="3"/>
  <c r="I76" i="3"/>
  <c r="L76" i="3" s="1"/>
  <c r="L75" i="3"/>
  <c r="I75" i="3"/>
  <c r="I74" i="3"/>
  <c r="L74" i="3" s="1"/>
  <c r="I73" i="3"/>
  <c r="L73" i="3" s="1"/>
  <c r="L72" i="3"/>
  <c r="I72" i="3"/>
  <c r="I71" i="3"/>
  <c r="L71" i="3" s="1"/>
  <c r="I70" i="3"/>
  <c r="L70" i="3" s="1"/>
  <c r="I69" i="3"/>
  <c r="L69" i="3" s="1"/>
  <c r="I68" i="3"/>
  <c r="L68" i="3" s="1"/>
  <c r="L67" i="3"/>
  <c r="I67" i="3"/>
  <c r="I66" i="3"/>
  <c r="L66" i="3" s="1"/>
  <c r="I65" i="3"/>
  <c r="L65" i="3" s="1"/>
  <c r="L64" i="3"/>
  <c r="I64" i="3"/>
  <c r="I63" i="3"/>
  <c r="L63" i="3" s="1"/>
  <c r="L62" i="3"/>
  <c r="I62" i="3"/>
  <c r="I61" i="3"/>
  <c r="L61" i="3" s="1"/>
  <c r="I60" i="3"/>
  <c r="L60" i="3" s="1"/>
  <c r="L59" i="3"/>
  <c r="I59" i="3"/>
  <c r="I58" i="3"/>
  <c r="L58" i="3" s="1"/>
  <c r="I57" i="3"/>
  <c r="L57" i="3" s="1"/>
  <c r="L56" i="3"/>
  <c r="I56" i="3"/>
  <c r="I55" i="3"/>
  <c r="L55" i="3" s="1"/>
  <c r="I54" i="3"/>
  <c r="L54" i="3" s="1"/>
  <c r="L53" i="3"/>
  <c r="I53" i="3"/>
  <c r="K52" i="3"/>
  <c r="L52" i="3" s="1"/>
  <c r="I52" i="3"/>
  <c r="L51" i="3"/>
  <c r="I51" i="3"/>
  <c r="I50" i="3"/>
  <c r="L50" i="3" s="1"/>
  <c r="I49" i="3"/>
  <c r="L49" i="3" s="1"/>
  <c r="L48" i="3"/>
  <c r="I48" i="3"/>
  <c r="L47" i="3"/>
  <c r="I47" i="3"/>
  <c r="L46" i="3"/>
  <c r="I46" i="3"/>
  <c r="L45" i="3"/>
  <c r="I45" i="3"/>
  <c r="L44" i="3"/>
  <c r="I44" i="3"/>
  <c r="L43" i="3"/>
  <c r="I43" i="3"/>
  <c r="I42" i="3"/>
  <c r="L42" i="3" s="1"/>
  <c r="I41" i="3"/>
  <c r="L41" i="3" s="1"/>
  <c r="L40" i="3"/>
  <c r="I40" i="3"/>
  <c r="L39" i="3"/>
  <c r="I39" i="3"/>
  <c r="I38" i="3"/>
  <c r="L38" i="3" s="1"/>
  <c r="L37" i="3"/>
  <c r="I37" i="3"/>
  <c r="L36" i="3"/>
  <c r="I36" i="3"/>
  <c r="AM35" i="3"/>
  <c r="AL35" i="3"/>
  <c r="AK35" i="3"/>
  <c r="AJ35" i="3"/>
  <c r="AI35" i="3"/>
  <c r="AH35" i="3"/>
  <c r="AH101" i="3" s="1"/>
  <c r="AG35" i="3"/>
  <c r="AG101" i="3" s="1"/>
  <c r="AF35" i="3"/>
  <c r="AF101" i="3" s="1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R101" i="3" s="1"/>
  <c r="Q35" i="3"/>
  <c r="Q101" i="3" s="1"/>
  <c r="P35" i="3"/>
  <c r="P101" i="3" s="1"/>
  <c r="O35" i="3"/>
  <c r="O101" i="3" s="1"/>
  <c r="N35" i="3"/>
  <c r="N101" i="3" s="1"/>
  <c r="M35" i="3"/>
  <c r="K35" i="3"/>
  <c r="L34" i="3"/>
  <c r="I34" i="3"/>
  <c r="L33" i="3"/>
  <c r="K33" i="3"/>
  <c r="I33" i="3"/>
  <c r="I32" i="3"/>
  <c r="L32" i="3" s="1"/>
  <c r="K31" i="3"/>
  <c r="I31" i="3"/>
  <c r="I30" i="3"/>
  <c r="L30" i="3" s="1"/>
  <c r="AM29" i="3"/>
  <c r="AM101" i="3" s="1"/>
  <c r="AL29" i="3"/>
  <c r="AL101" i="3" s="1"/>
  <c r="AK29" i="3"/>
  <c r="AK101" i="3" s="1"/>
  <c r="AJ29" i="3"/>
  <c r="AI29" i="3"/>
  <c r="AH29" i="3"/>
  <c r="AG29" i="3"/>
  <c r="AF29" i="3"/>
  <c r="AD29" i="3"/>
  <c r="AC29" i="3"/>
  <c r="AB29" i="3"/>
  <c r="AA29" i="3"/>
  <c r="Z29" i="3"/>
  <c r="Y29" i="3"/>
  <c r="Y101" i="3" s="1"/>
  <c r="X29" i="3"/>
  <c r="W29" i="3"/>
  <c r="W101" i="3" s="1"/>
  <c r="V29" i="3"/>
  <c r="V101" i="3" s="1"/>
  <c r="U29" i="3"/>
  <c r="U101" i="3" s="1"/>
  <c r="T29" i="3"/>
  <c r="S29" i="3"/>
  <c r="R29" i="3"/>
  <c r="Q29" i="3"/>
  <c r="P29" i="3"/>
  <c r="O29" i="3"/>
  <c r="N29" i="3"/>
  <c r="M29" i="3"/>
  <c r="K29" i="3"/>
  <c r="I28" i="3"/>
  <c r="L28" i="3" s="1"/>
  <c r="L27" i="3"/>
  <c r="I27" i="3"/>
  <c r="I26" i="3"/>
  <c r="L26" i="3" s="1"/>
  <c r="L25" i="3"/>
  <c r="I25" i="3"/>
  <c r="L24" i="3"/>
  <c r="I24" i="3"/>
  <c r="L23" i="3"/>
  <c r="I23" i="3"/>
  <c r="L22" i="3"/>
  <c r="I22" i="3"/>
  <c r="I21" i="3"/>
  <c r="L21" i="3" s="1"/>
  <c r="I20" i="3"/>
  <c r="L20" i="3" s="1"/>
  <c r="I19" i="3"/>
  <c r="L19" i="3" s="1"/>
  <c r="I18" i="3"/>
  <c r="L18" i="3" s="1"/>
  <c r="L17" i="3"/>
  <c r="I17" i="3"/>
  <c r="L16" i="3"/>
  <c r="I16" i="3"/>
  <c r="L15" i="3"/>
  <c r="I15" i="3"/>
  <c r="L14" i="3"/>
  <c r="I14" i="3"/>
  <c r="I13" i="3"/>
  <c r="L13" i="3" s="1"/>
  <c r="L12" i="3"/>
  <c r="I12" i="3"/>
  <c r="I11" i="3"/>
  <c r="L11" i="3" s="1"/>
  <c r="L10" i="3"/>
  <c r="I10" i="3"/>
  <c r="I9" i="3"/>
  <c r="L9" i="3" s="1"/>
  <c r="L8" i="3"/>
  <c r="I8" i="3"/>
  <c r="L7" i="3"/>
  <c r="I7" i="3"/>
  <c r="L6" i="3"/>
  <c r="I6" i="3"/>
  <c r="I5" i="3"/>
  <c r="L5" i="3" s="1"/>
  <c r="L4" i="3"/>
  <c r="I4" i="3"/>
  <c r="Y67" i="2"/>
  <c r="T67" i="2"/>
  <c r="AN66" i="2"/>
  <c r="AM66" i="2"/>
  <c r="AL66" i="2"/>
  <c r="AL67" i="2" s="1"/>
  <c r="AK66" i="2"/>
  <c r="AK67" i="2" s="1"/>
  <c r="AJ66" i="2"/>
  <c r="AJ67" i="2" s="1"/>
  <c r="AI66" i="2"/>
  <c r="AI67" i="2" s="1"/>
  <c r="AH66" i="2"/>
  <c r="AH67" i="2" s="1"/>
  <c r="AG66" i="2"/>
  <c r="AF66" i="2"/>
  <c r="AF67" i="2" s="1"/>
  <c r="AE66" i="2"/>
  <c r="AD66" i="2"/>
  <c r="AC66" i="2"/>
  <c r="AB66" i="2"/>
  <c r="AA66" i="2"/>
  <c r="Z66" i="2"/>
  <c r="Y66" i="2"/>
  <c r="X66" i="2"/>
  <c r="W66" i="2"/>
  <c r="V66" i="2"/>
  <c r="U66" i="2"/>
  <c r="U67" i="2" s="1"/>
  <c r="T66" i="2"/>
  <c r="S66" i="2"/>
  <c r="S67" i="2" s="1"/>
  <c r="R66" i="2"/>
  <c r="R67" i="2" s="1"/>
  <c r="Q66" i="2"/>
  <c r="P66" i="2"/>
  <c r="O66" i="2"/>
  <c r="N66" i="2"/>
  <c r="M66" i="2"/>
  <c r="K66" i="2"/>
  <c r="L65" i="2"/>
  <c r="I64" i="2"/>
  <c r="L64" i="2" s="1"/>
  <c r="L63" i="2"/>
  <c r="I63" i="2"/>
  <c r="I62" i="2"/>
  <c r="L62" i="2" s="1"/>
  <c r="L61" i="2"/>
  <c r="I61" i="2"/>
  <c r="I60" i="2"/>
  <c r="L60" i="2" s="1"/>
  <c r="I59" i="2"/>
  <c r="L59" i="2" s="1"/>
  <c r="L58" i="2"/>
  <c r="I58" i="2"/>
  <c r="I57" i="2"/>
  <c r="L57" i="2" s="1"/>
  <c r="I56" i="2"/>
  <c r="L56" i="2" s="1"/>
  <c r="L55" i="2"/>
  <c r="I55" i="2"/>
  <c r="L54" i="2"/>
  <c r="I54" i="2"/>
  <c r="I53" i="2"/>
  <c r="L53" i="2" s="1"/>
  <c r="I52" i="2"/>
  <c r="L52" i="2" s="1"/>
  <c r="I51" i="2"/>
  <c r="L51" i="2" s="1"/>
  <c r="L50" i="2"/>
  <c r="I50" i="2"/>
  <c r="I49" i="2"/>
  <c r="L49" i="2" s="1"/>
  <c r="I48" i="2"/>
  <c r="L48" i="2" s="1"/>
  <c r="L47" i="2"/>
  <c r="I47" i="2"/>
  <c r="I46" i="2"/>
  <c r="L46" i="2" s="1"/>
  <c r="I45" i="2"/>
  <c r="L45" i="2" s="1"/>
  <c r="L44" i="2"/>
  <c r="I44" i="2"/>
  <c r="I43" i="2"/>
  <c r="L43" i="2" s="1"/>
  <c r="L42" i="2"/>
  <c r="I42" i="2"/>
  <c r="I41" i="2"/>
  <c r="L41" i="2" s="1"/>
  <c r="I40" i="2"/>
  <c r="L40" i="2" s="1"/>
  <c r="L39" i="2"/>
  <c r="I39" i="2"/>
  <c r="L38" i="2"/>
  <c r="I38" i="2"/>
  <c r="I37" i="2"/>
  <c r="L37" i="2" s="1"/>
  <c r="L36" i="2"/>
  <c r="I36" i="2"/>
  <c r="I35" i="2"/>
  <c r="L35" i="2" s="1"/>
  <c r="L34" i="2"/>
  <c r="I34" i="2"/>
  <c r="I33" i="2"/>
  <c r="L33" i="2" s="1"/>
  <c r="I32" i="2"/>
  <c r="L32" i="2" s="1"/>
  <c r="L31" i="2"/>
  <c r="I31" i="2"/>
  <c r="I30" i="2"/>
  <c r="L30" i="2" s="1"/>
  <c r="I29" i="2"/>
  <c r="L29" i="2" s="1"/>
  <c r="L28" i="2"/>
  <c r="I28" i="2"/>
  <c r="I27" i="2"/>
  <c r="AN26" i="2"/>
  <c r="AN67" i="2" s="1"/>
  <c r="AM26" i="2"/>
  <c r="AL26" i="2"/>
  <c r="AK26" i="2"/>
  <c r="AJ26" i="2"/>
  <c r="AI26" i="2"/>
  <c r="AH26" i="2"/>
  <c r="AG26" i="2"/>
  <c r="AE26" i="2"/>
  <c r="AD26" i="2"/>
  <c r="AC26" i="2"/>
  <c r="AB26" i="2"/>
  <c r="AA26" i="2"/>
  <c r="Z26" i="2"/>
  <c r="Y26" i="2"/>
  <c r="X26" i="2"/>
  <c r="W26" i="2"/>
  <c r="W67" i="2" s="1"/>
  <c r="V26" i="2"/>
  <c r="U26" i="2"/>
  <c r="T26" i="2"/>
  <c r="S26" i="2"/>
  <c r="R26" i="2"/>
  <c r="Q26" i="2"/>
  <c r="P26" i="2"/>
  <c r="O26" i="2"/>
  <c r="N26" i="2"/>
  <c r="M26" i="2"/>
  <c r="L26" i="2"/>
  <c r="K26" i="2"/>
  <c r="L24" i="2"/>
  <c r="I24" i="2"/>
  <c r="AN23" i="2"/>
  <c r="AM23" i="2"/>
  <c r="AM67" i="2" s="1"/>
  <c r="AL23" i="2"/>
  <c r="AK23" i="2"/>
  <c r="AJ23" i="2"/>
  <c r="AI23" i="2"/>
  <c r="AH23" i="2"/>
  <c r="AG23" i="2"/>
  <c r="AE23" i="2"/>
  <c r="AE67" i="2" s="1"/>
  <c r="AD23" i="2"/>
  <c r="AC23" i="2"/>
  <c r="AB23" i="2"/>
  <c r="AB67" i="2" s="1"/>
  <c r="AA23" i="2"/>
  <c r="Z23" i="2"/>
  <c r="Z67" i="2" s="1"/>
  <c r="Y23" i="2"/>
  <c r="X23" i="2"/>
  <c r="X67" i="2" s="1"/>
  <c r="W23" i="2"/>
  <c r="V23" i="2"/>
  <c r="V67" i="2" s="1"/>
  <c r="U23" i="2"/>
  <c r="T23" i="2"/>
  <c r="S23" i="2"/>
  <c r="R23" i="2"/>
  <c r="Q23" i="2"/>
  <c r="P23" i="2"/>
  <c r="O23" i="2"/>
  <c r="O67" i="2" s="1"/>
  <c r="N23" i="2"/>
  <c r="M23" i="2"/>
  <c r="K23" i="2"/>
  <c r="L22" i="2"/>
  <c r="I22" i="2"/>
  <c r="L21" i="2"/>
  <c r="I21" i="2"/>
  <c r="L20" i="2"/>
  <c r="I20" i="2"/>
  <c r="L19" i="2"/>
  <c r="I19" i="2"/>
  <c r="I18" i="2"/>
  <c r="L18" i="2" s="1"/>
  <c r="I17" i="2"/>
  <c r="L17" i="2" s="1"/>
  <c r="L16" i="2"/>
  <c r="I16" i="2"/>
  <c r="I15" i="2"/>
  <c r="L15" i="2" s="1"/>
  <c r="I14" i="2"/>
  <c r="L14" i="2" s="1"/>
  <c r="L13" i="2"/>
  <c r="I13" i="2"/>
  <c r="L12" i="2"/>
  <c r="I12" i="2"/>
  <c r="L11" i="2"/>
  <c r="I11" i="2"/>
  <c r="I10" i="2"/>
  <c r="L10" i="2" s="1"/>
  <c r="I9" i="2"/>
  <c r="L9" i="2" s="1"/>
  <c r="I8" i="2"/>
  <c r="L8" i="2" s="1"/>
  <c r="I7" i="2"/>
  <c r="L7" i="2" s="1"/>
  <c r="L6" i="2"/>
  <c r="I6" i="2"/>
  <c r="L5" i="2"/>
  <c r="I5" i="2"/>
  <c r="I4" i="2"/>
  <c r="AE128" i="1"/>
  <c r="R128" i="1"/>
  <c r="Q128" i="1"/>
  <c r="P128" i="1"/>
  <c r="AM127" i="1"/>
  <c r="AL127" i="1"/>
  <c r="AK127" i="1"/>
  <c r="AG127" i="1"/>
  <c r="AF127" i="1"/>
  <c r="AD127" i="1"/>
  <c r="AC127" i="1"/>
  <c r="AB127" i="1"/>
  <c r="AA127" i="1"/>
  <c r="Z127" i="1"/>
  <c r="Z128" i="1" s="1"/>
  <c r="Y127" i="1"/>
  <c r="X127" i="1"/>
  <c r="X128" i="1" s="1"/>
  <c r="W127" i="1"/>
  <c r="V127" i="1"/>
  <c r="U127" i="1"/>
  <c r="T127" i="1"/>
  <c r="S127" i="1"/>
  <c r="R127" i="1"/>
  <c r="Q127" i="1"/>
  <c r="P127" i="1"/>
  <c r="O127" i="1"/>
  <c r="N127" i="1"/>
  <c r="M127" i="1"/>
  <c r="K127" i="1"/>
  <c r="L116" i="1"/>
  <c r="I116" i="1"/>
  <c r="L115" i="1"/>
  <c r="I115" i="1"/>
  <c r="L114" i="1"/>
  <c r="I114" i="1"/>
  <c r="L113" i="1"/>
  <c r="I113" i="1"/>
  <c r="L112" i="1"/>
  <c r="I112" i="1"/>
  <c r="I111" i="1"/>
  <c r="L111" i="1" s="1"/>
  <c r="I110" i="1"/>
  <c r="L110" i="1" s="1"/>
  <c r="L109" i="1"/>
  <c r="I109" i="1"/>
  <c r="I108" i="1"/>
  <c r="L108" i="1" s="1"/>
  <c r="I107" i="1"/>
  <c r="L107" i="1" s="1"/>
  <c r="L106" i="1"/>
  <c r="I106" i="1"/>
  <c r="L105" i="1"/>
  <c r="I105" i="1"/>
  <c r="L104" i="1"/>
  <c r="I104" i="1"/>
  <c r="I103" i="1"/>
  <c r="L103" i="1" s="1"/>
  <c r="I102" i="1"/>
  <c r="L102" i="1" s="1"/>
  <c r="I101" i="1"/>
  <c r="L101" i="1" s="1"/>
  <c r="I100" i="1"/>
  <c r="L100" i="1" s="1"/>
  <c r="L99" i="1"/>
  <c r="I99" i="1"/>
  <c r="L98" i="1"/>
  <c r="I98" i="1"/>
  <c r="L97" i="1"/>
  <c r="I97" i="1"/>
  <c r="L96" i="1"/>
  <c r="I96" i="1"/>
  <c r="I95" i="1"/>
  <c r="L95" i="1" s="1"/>
  <c r="L94" i="1"/>
  <c r="I94" i="1"/>
  <c r="I93" i="1"/>
  <c r="L93" i="1" s="1"/>
  <c r="L92" i="1"/>
  <c r="I92" i="1"/>
  <c r="I91" i="1"/>
  <c r="L91" i="1" s="1"/>
  <c r="L90" i="1"/>
  <c r="I90" i="1"/>
  <c r="L89" i="1"/>
  <c r="I89" i="1"/>
  <c r="L88" i="1"/>
  <c r="I88" i="1"/>
  <c r="I87" i="1"/>
  <c r="L87" i="1" s="1"/>
  <c r="L86" i="1"/>
  <c r="I86" i="1"/>
  <c r="I85" i="1"/>
  <c r="L85" i="1" s="1"/>
  <c r="AJ84" i="1"/>
  <c r="AI84" i="1"/>
  <c r="AH84" i="1"/>
  <c r="I84" i="1"/>
  <c r="L84" i="1" s="1"/>
  <c r="AJ83" i="1"/>
  <c r="AI83" i="1"/>
  <c r="AH83" i="1"/>
  <c r="L83" i="1"/>
  <c r="I83" i="1"/>
  <c r="AJ82" i="1"/>
  <c r="AI82" i="1"/>
  <c r="AH82" i="1"/>
  <c r="L82" i="1"/>
  <c r="I82" i="1"/>
  <c r="AJ81" i="1"/>
  <c r="AI81" i="1"/>
  <c r="AH81" i="1"/>
  <c r="I81" i="1"/>
  <c r="L81" i="1" s="1"/>
  <c r="AJ80" i="1"/>
  <c r="AJ127" i="1" s="1"/>
  <c r="AI80" i="1"/>
  <c r="AH80" i="1"/>
  <c r="L80" i="1"/>
  <c r="I80" i="1"/>
  <c r="AJ79" i="1"/>
  <c r="AI79" i="1"/>
  <c r="AH79" i="1"/>
  <c r="L79" i="1"/>
  <c r="I79" i="1"/>
  <c r="I78" i="1"/>
  <c r="L78" i="1" s="1"/>
  <c r="I77" i="1"/>
  <c r="L77" i="1" s="1"/>
  <c r="I76" i="1"/>
  <c r="L76" i="1" s="1"/>
  <c r="L75" i="1"/>
  <c r="I75" i="1"/>
  <c r="L74" i="1"/>
  <c r="I74" i="1"/>
  <c r="L73" i="1"/>
  <c r="I73" i="1"/>
  <c r="I72" i="1"/>
  <c r="L72" i="1" s="1"/>
  <c r="I71" i="1"/>
  <c r="L71" i="1" s="1"/>
  <c r="L70" i="1"/>
  <c r="K70" i="1"/>
  <c r="I70" i="1"/>
  <c r="K69" i="1"/>
  <c r="L69" i="1" s="1"/>
  <c r="I69" i="1"/>
  <c r="L68" i="1"/>
  <c r="I68" i="1"/>
  <c r="L67" i="1"/>
  <c r="I67" i="1"/>
  <c r="L66" i="1"/>
  <c r="I66" i="1"/>
  <c r="I65" i="1"/>
  <c r="L65" i="1" s="1"/>
  <c r="L64" i="1"/>
  <c r="I64" i="1"/>
  <c r="L63" i="1"/>
  <c r="I63" i="1"/>
  <c r="I62" i="1"/>
  <c r="L62" i="1" s="1"/>
  <c r="I61" i="1"/>
  <c r="L61" i="1" s="1"/>
  <c r="L60" i="1"/>
  <c r="I60" i="1"/>
  <c r="L59" i="1"/>
  <c r="I59" i="1"/>
  <c r="L58" i="1"/>
  <c r="I58" i="1"/>
  <c r="I57" i="1"/>
  <c r="L57" i="1" s="1"/>
  <c r="I56" i="1"/>
  <c r="L56" i="1" s="1"/>
  <c r="I55" i="1"/>
  <c r="L55" i="1" s="1"/>
  <c r="L54" i="1"/>
  <c r="I54" i="1"/>
  <c r="I53" i="1"/>
  <c r="L53" i="1" s="1"/>
  <c r="L52" i="1"/>
  <c r="I52" i="1"/>
  <c r="L51" i="1"/>
  <c r="I51" i="1"/>
  <c r="I50" i="1"/>
  <c r="L50" i="1" s="1"/>
  <c r="I49" i="1"/>
  <c r="L49" i="1" s="1"/>
  <c r="L48" i="1"/>
  <c r="I48" i="1"/>
  <c r="I47" i="1"/>
  <c r="L47" i="1" s="1"/>
  <c r="I46" i="1"/>
  <c r="L46" i="1" s="1"/>
  <c r="L45" i="1"/>
  <c r="I45" i="1"/>
  <c r="L44" i="1"/>
  <c r="I44" i="1"/>
  <c r="L43" i="1"/>
  <c r="I43" i="1"/>
  <c r="L42" i="1"/>
  <c r="I42" i="1"/>
  <c r="I41" i="1"/>
  <c r="L41" i="1" s="1"/>
  <c r="L40" i="1"/>
  <c r="I40" i="1"/>
  <c r="I39" i="1"/>
  <c r="L39" i="1" s="1"/>
  <c r="L38" i="1"/>
  <c r="I38" i="1"/>
  <c r="L37" i="1"/>
  <c r="I37" i="1"/>
  <c r="L36" i="1"/>
  <c r="I36" i="1"/>
  <c r="L35" i="1"/>
  <c r="I35" i="1"/>
  <c r="L34" i="1"/>
  <c r="I34" i="1"/>
  <c r="I33" i="1"/>
  <c r="L33" i="1" s="1"/>
  <c r="AM32" i="1"/>
  <c r="AL32" i="1"/>
  <c r="AK32" i="1"/>
  <c r="AJ32" i="1"/>
  <c r="AI32" i="1"/>
  <c r="AH32" i="1"/>
  <c r="AG32" i="1"/>
  <c r="AF32" i="1"/>
  <c r="AD32" i="1"/>
  <c r="AC32" i="1"/>
  <c r="AB32" i="1"/>
  <c r="AA32" i="1"/>
  <c r="Z32" i="1"/>
  <c r="Y32" i="1"/>
  <c r="X32" i="1"/>
  <c r="W32" i="1"/>
  <c r="V32" i="1"/>
  <c r="U32" i="1"/>
  <c r="T32" i="1"/>
  <c r="S32" i="1"/>
  <c r="S128" i="1" s="1"/>
  <c r="R32" i="1"/>
  <c r="Q32" i="1"/>
  <c r="P32" i="1"/>
  <c r="O32" i="1"/>
  <c r="N32" i="1"/>
  <c r="M32" i="1"/>
  <c r="L31" i="1"/>
  <c r="I31" i="1"/>
  <c r="K30" i="1"/>
  <c r="I30" i="1"/>
  <c r="L29" i="1"/>
  <c r="I29" i="1"/>
  <c r="L28" i="1"/>
  <c r="K28" i="1"/>
  <c r="I28" i="1"/>
  <c r="K27" i="1"/>
  <c r="K32" i="1" s="1"/>
  <c r="K128" i="1" s="1"/>
  <c r="I27" i="1"/>
  <c r="I26" i="1"/>
  <c r="L26" i="1" s="1"/>
  <c r="AM25" i="1"/>
  <c r="AL25" i="1"/>
  <c r="AK25" i="1"/>
  <c r="AJ25" i="1"/>
  <c r="AI25" i="1"/>
  <c r="AH25" i="1"/>
  <c r="AG25" i="1"/>
  <c r="AG128" i="1" s="1"/>
  <c r="AF25" i="1"/>
  <c r="AF128" i="1" s="1"/>
  <c r="AD25" i="1"/>
  <c r="AD128" i="1" s="1"/>
  <c r="AC25" i="1"/>
  <c r="AC128" i="1" s="1"/>
  <c r="AB25" i="1"/>
  <c r="AB128" i="1" s="1"/>
  <c r="AA25" i="1"/>
  <c r="AA128" i="1" s="1"/>
  <c r="Z25" i="1"/>
  <c r="Y25" i="1"/>
  <c r="X25" i="1"/>
  <c r="W25" i="1"/>
  <c r="W128" i="1" s="1"/>
  <c r="V25" i="1"/>
  <c r="U25" i="1"/>
  <c r="T25" i="1"/>
  <c r="S25" i="1"/>
  <c r="R25" i="1"/>
  <c r="Q25" i="1"/>
  <c r="P25" i="1"/>
  <c r="O25" i="1"/>
  <c r="O128" i="1" s="1"/>
  <c r="N25" i="1"/>
  <c r="N128" i="1" s="1"/>
  <c r="M25" i="1"/>
  <c r="M128" i="1" s="1"/>
  <c r="K25" i="1"/>
  <c r="I24" i="1"/>
  <c r="L24" i="1" s="1"/>
  <c r="I23" i="1"/>
  <c r="L23" i="1" s="1"/>
  <c r="I22" i="1"/>
  <c r="L22" i="1" s="1"/>
  <c r="I21" i="1"/>
  <c r="L21" i="1" s="1"/>
  <c r="I20" i="1"/>
  <c r="L20" i="1" s="1"/>
  <c r="I19" i="1"/>
  <c r="L19" i="1" s="1"/>
  <c r="L18" i="1"/>
  <c r="I18" i="1"/>
  <c r="I17" i="1"/>
  <c r="L17" i="1" s="1"/>
  <c r="I16" i="1"/>
  <c r="L16" i="1" s="1"/>
  <c r="I15" i="1"/>
  <c r="L15" i="1" s="1"/>
  <c r="I14" i="1"/>
  <c r="L14" i="1" s="1"/>
  <c r="I13" i="1"/>
  <c r="L13" i="1" s="1"/>
  <c r="I12" i="1"/>
  <c r="L12" i="1" s="1"/>
  <c r="I11" i="1"/>
  <c r="L11" i="1" s="1"/>
  <c r="L10" i="1"/>
  <c r="I10" i="1"/>
  <c r="I9" i="1"/>
  <c r="L9" i="1" s="1"/>
  <c r="L8" i="1"/>
  <c r="I8" i="1"/>
  <c r="I7" i="1"/>
  <c r="L7" i="1" s="1"/>
  <c r="I6" i="1"/>
  <c r="L6" i="1" s="1"/>
  <c r="I5" i="1"/>
  <c r="L5" i="1" s="1"/>
  <c r="I4" i="1"/>
  <c r="L4" i="1" s="1"/>
  <c r="L25" i="1" s="1"/>
  <c r="L53" i="7" l="1"/>
  <c r="L15" i="7"/>
  <c r="L54" i="7" s="1"/>
  <c r="L23" i="2"/>
  <c r="L100" i="3"/>
  <c r="L58" i="4"/>
  <c r="K63" i="5"/>
  <c r="L59" i="4"/>
  <c r="L127" i="1"/>
  <c r="L35" i="3"/>
  <c r="L62" i="5"/>
  <c r="V128" i="1"/>
  <c r="AM128" i="1"/>
  <c r="L102" i="6"/>
  <c r="AH127" i="1"/>
  <c r="AH128" i="1" s="1"/>
  <c r="K103" i="6"/>
  <c r="Y59" i="4"/>
  <c r="L29" i="3"/>
  <c r="AI127" i="1"/>
  <c r="X59" i="4"/>
  <c r="L27" i="1"/>
  <c r="L32" i="1" s="1"/>
  <c r="L128" i="1" s="1"/>
  <c r="O103" i="6"/>
  <c r="AE103" i="6"/>
  <c r="Y128" i="1"/>
  <c r="T128" i="1"/>
  <c r="L66" i="2"/>
  <c r="Z59" i="4"/>
  <c r="AJ63" i="5"/>
  <c r="T63" i="5"/>
  <c r="AK63" i="5"/>
  <c r="L13" i="6"/>
  <c r="L103" i="6" s="1"/>
  <c r="K67" i="2"/>
  <c r="AA67" i="2"/>
  <c r="AC67" i="2"/>
  <c r="L30" i="1"/>
  <c r="N67" i="2"/>
  <c r="AD67" i="2"/>
  <c r="X101" i="3"/>
  <c r="X63" i="5"/>
  <c r="AI128" i="1"/>
  <c r="Z101" i="3"/>
  <c r="L9" i="5"/>
  <c r="L14" i="5" s="1"/>
  <c r="L63" i="5" s="1"/>
  <c r="AJ128" i="1"/>
  <c r="P67" i="2"/>
  <c r="Q67" i="2"/>
  <c r="AA101" i="3"/>
  <c r="M67" i="2"/>
  <c r="AG67" i="2"/>
  <c r="L31" i="3"/>
  <c r="AK128" i="1"/>
  <c r="U128" i="1"/>
  <c r="AL128" i="1"/>
  <c r="K101" i="3"/>
  <c r="L101" i="3" l="1"/>
  <c r="L67" i="2"/>
</calcChain>
</file>

<file path=xl/sharedStrings.xml><?xml version="1.0" encoding="utf-8"?>
<sst xmlns="http://schemas.openxmlformats.org/spreadsheetml/2006/main" count="1449" uniqueCount="488">
  <si>
    <t>ro</t>
  </si>
  <si>
    <t>Date</t>
  </si>
  <si>
    <t>Section/Job</t>
  </si>
  <si>
    <t>Menu</t>
  </si>
  <si>
    <t>Component</t>
  </si>
  <si>
    <t>Dimension</t>
  </si>
  <si>
    <t>Time (hr:mm)</t>
  </si>
  <si>
    <t>Time Use(hr:mm)</t>
  </si>
  <si>
    <t>Worker
(People)</t>
  </si>
  <si>
    <t>Output capacity
(Kg)</t>
  </si>
  <si>
    <t>Kg./manpower/hr.</t>
  </si>
  <si>
    <t>Machine utilization (minute)</t>
  </si>
  <si>
    <t>Start</t>
  </si>
  <si>
    <t>stop</t>
  </si>
  <si>
    <t>Bolw cutter</t>
  </si>
  <si>
    <t>Blender machine (Batching)</t>
  </si>
  <si>
    <t>Vegetable Cutting</t>
  </si>
  <si>
    <t>Peeling Machine</t>
  </si>
  <si>
    <t>Can Opener</t>
  </si>
  <si>
    <t>Robocoub dice</t>
  </si>
  <si>
    <t>Knife</t>
  </si>
  <si>
    <t>Meat ball</t>
  </si>
  <si>
    <t>Egg filling</t>
  </si>
  <si>
    <t>Steam box1</t>
  </si>
  <si>
    <t>Steam box2</t>
  </si>
  <si>
    <t>Combi 1</t>
  </si>
  <si>
    <t>Combi 2</t>
  </si>
  <si>
    <t>Combi 3</t>
  </si>
  <si>
    <t>Combi 4</t>
  </si>
  <si>
    <t>Bratt pan 1</t>
  </si>
  <si>
    <t>Bratt pan 2</t>
  </si>
  <si>
    <t>Bratt pan 3</t>
  </si>
  <si>
    <t>Bratt pan 4</t>
  </si>
  <si>
    <t>Round 
Bratt pan</t>
  </si>
  <si>
    <t>Pan fry</t>
  </si>
  <si>
    <t>Deep fry1</t>
  </si>
  <si>
    <t>Deep fry2</t>
  </si>
  <si>
    <t>Deep fry3</t>
  </si>
  <si>
    <t>Deep fry4</t>
  </si>
  <si>
    <t>Hot Plate</t>
  </si>
  <si>
    <t>Flame grill</t>
  </si>
  <si>
    <t>27/3/2026</t>
  </si>
  <si>
    <t>Prepare Vegetable</t>
  </si>
  <si>
    <t>Cleaning Line+เตรียมอุปกรณ์</t>
  </si>
  <si>
    <t>-</t>
  </si>
  <si>
    <t>Ginger Spring Onion Fish with Rice Vermicelli (Bento)</t>
  </si>
  <si>
    <t xml:space="preserve">Stir-Fried vegetable/Cutting Chinese Cabbage </t>
  </si>
  <si>
    <t>10-12x60120 mm</t>
  </si>
  <si>
    <t>Steam Spring Onion/Trim Spring Onion</t>
  </si>
  <si>
    <t>30-40 mm</t>
  </si>
  <si>
    <t>Steam Spring Onion/Spring Onion cut</t>
  </si>
  <si>
    <t>Prepare carrot</t>
  </si>
  <si>
    <t>Spring Onion Chicken with Noodles</t>
  </si>
  <si>
    <t>Blanched spring onion/Trim Spring Onion</t>
  </si>
  <si>
    <t>Blanched spring onion/Spring Onion cut</t>
  </si>
  <si>
    <t>Blanched chye sim/ chye sim cut</t>
  </si>
  <si>
    <t>size 30-40 mm</t>
  </si>
  <si>
    <t>Scrambled Eggs with Chicken Meatballs, Creamed Spinach &amp; Roast Potato (Bento)</t>
  </si>
  <si>
    <t xml:space="preserve">Tomato concasse for meatball/Onion Chop </t>
  </si>
  <si>
    <t>size 2-5 mm</t>
  </si>
  <si>
    <t xml:space="preserve">Steam Baked Meat Ball/Parsley Chop </t>
  </si>
  <si>
    <t xml:space="preserve"> size 2-4 mm</t>
  </si>
  <si>
    <t>White onion dice</t>
  </si>
  <si>
    <t>size 10-12 mm</t>
  </si>
  <si>
    <t>White onion slice</t>
  </si>
  <si>
    <t>Chicken Meatball Pasta with Chasseur Sauce</t>
  </si>
  <si>
    <t>Ginger paste</t>
  </si>
  <si>
    <t>Cleaning Line</t>
  </si>
  <si>
    <t xml:space="preserve">Blanched chye sim/Wash chye sim </t>
  </si>
  <si>
    <t>Prepare White onion</t>
  </si>
  <si>
    <t>Fish in Oriental Sauce with Steamed Rice (MU)</t>
  </si>
  <si>
    <t>Prepare meat</t>
  </si>
  <si>
    <t>Forming Chicken Meatball  4 B.</t>
  </si>
  <si>
    <t>Cutting fish 2  batch</t>
  </si>
  <si>
    <t>Break</t>
  </si>
  <si>
    <t>Cutting fish 6 batch</t>
  </si>
  <si>
    <t>Cooking</t>
  </si>
  <si>
    <t>Ginger Spring Onion Fish with Rice Vermicelli</t>
  </si>
  <si>
    <t xml:space="preserve"> Blanched red chilli B.1</t>
  </si>
  <si>
    <t xml:space="preserve"> Blanched red chilli B.2</t>
  </si>
  <si>
    <t xml:space="preserve"> Blanched red chilli B.3</t>
  </si>
  <si>
    <t xml:space="preserve"> Blanched red chilli B.4</t>
  </si>
  <si>
    <t xml:space="preserve"> Blanched red chilli B.5</t>
  </si>
  <si>
    <t xml:space="preserve"> Blanched red chilli B.6</t>
  </si>
  <si>
    <t xml:space="preserve"> Blanched red chilli B.7</t>
  </si>
  <si>
    <t xml:space="preserve"> Blanched red chilli B.8</t>
  </si>
  <si>
    <t xml:space="preserve"> Blanched red chilli B.9</t>
  </si>
  <si>
    <t>Stir-fried vegetable 1/1</t>
  </si>
  <si>
    <t>Stir-fried vegetable 1/2</t>
  </si>
  <si>
    <t>Stir-fried vegetable 2/1</t>
  </si>
  <si>
    <t>Stir-fried vegetable 2/2</t>
  </si>
  <si>
    <t>Stir-fried vegetable 3/1</t>
  </si>
  <si>
    <t>Stir-fried vegetable 3/2</t>
  </si>
  <si>
    <t>Stir-fried vegetable 4/1</t>
  </si>
  <si>
    <t>Stir-fried vegetable 4/2</t>
  </si>
  <si>
    <t>Stir-fried vegetable 5/1</t>
  </si>
  <si>
    <t>Stir-fried vegetable 5/2</t>
  </si>
  <si>
    <t>Stir-fried vegetable 6/1</t>
  </si>
  <si>
    <t>Stir-fried vegetable 6/2</t>
  </si>
  <si>
    <t>Stir-fried vegetable 7/1</t>
  </si>
  <si>
    <t>Stir-fried vegetable 7/2</t>
  </si>
  <si>
    <t>Stir-fried vegetable 8/1</t>
  </si>
  <si>
    <t>Stir-fried vegetable 8/2</t>
  </si>
  <si>
    <t>Stir-fried vegetable 9/1</t>
  </si>
  <si>
    <t>Blanched rice noodle B.1</t>
  </si>
  <si>
    <t>Blanched rice noodle B.2</t>
  </si>
  <si>
    <t>Blanched rice noodle B.3</t>
  </si>
  <si>
    <t>Blanched rice noodle B.4</t>
  </si>
  <si>
    <t>Blanched rice noodle B.5</t>
  </si>
  <si>
    <t>Blanched rice noodle B.6</t>
  </si>
  <si>
    <t>Blanched rice noodle B.7</t>
  </si>
  <si>
    <t>Blanched rice noodle B.8</t>
  </si>
  <si>
    <t>Blanched rice noodle B.9 (0.5 batch)</t>
  </si>
  <si>
    <t>Steam spring onion B.1-4</t>
  </si>
  <si>
    <t>Steam spring onion B.5-8.5</t>
  </si>
  <si>
    <t>Fish in Oriental Sauce with Short Grain Rice (MU)</t>
  </si>
  <si>
    <t>Blanched spring onion B.1</t>
  </si>
  <si>
    <t>Blanched spring onion B.2</t>
  </si>
  <si>
    <t>Blanched carrot B.1</t>
  </si>
  <si>
    <t>Blanched carrot B.2</t>
  </si>
  <si>
    <t>Herb Scrambled Egg, Paprika Potato, Spinach Corn, Chicken Patties, Creamy Mushroom</t>
  </si>
  <si>
    <t>Fried IQF potato B.1</t>
  </si>
  <si>
    <t>Fried IQF potato B.2</t>
  </si>
  <si>
    <t>Fried IQF potato B.3</t>
  </si>
  <si>
    <t>Fried IQF potato B.4</t>
  </si>
  <si>
    <t>Fried IQF potato B.5</t>
  </si>
  <si>
    <t>Fried IQF potato B.6</t>
  </si>
  <si>
    <t>Fried IQF potato B.7</t>
  </si>
  <si>
    <t>Fried IQF potato B.8</t>
  </si>
  <si>
    <t>Spinach Corn B.1</t>
  </si>
  <si>
    <t>Spinach Corn B.2</t>
  </si>
  <si>
    <t>Spinach Corn B.3</t>
  </si>
  <si>
    <t>Spinach Corn B.4</t>
  </si>
  <si>
    <t>Spinach Corn B.5</t>
  </si>
  <si>
    <t>Spinach Corn B.6</t>
  </si>
  <si>
    <t>Spinach Corn B.7</t>
  </si>
  <si>
    <t>Bechemal sauce B.1-B.3</t>
  </si>
  <si>
    <t>Bechemal sauce B.4-B.5</t>
  </si>
  <si>
    <t>Bechemal sauce B.6-B.7</t>
  </si>
  <si>
    <t>Herb for Scrambled Egg B.1-B.5</t>
  </si>
  <si>
    <t>Herb for Scrambled Egg B.6</t>
  </si>
  <si>
    <t>Scrambled Egg plain 1/2</t>
  </si>
  <si>
    <t>Scrambled Egg plain 2/1</t>
  </si>
  <si>
    <t>Scrambled Egg plain 2/2</t>
  </si>
  <si>
    <t>Scrambled Egg plain 3/1</t>
  </si>
  <si>
    <t>Scrambled Egg plain 3/2</t>
  </si>
  <si>
    <t>Spring Onion chicken with Noodles</t>
  </si>
  <si>
    <t>Stir-fried vegetable B.1</t>
  </si>
  <si>
    <t>Stir-fried vegetable B.2</t>
  </si>
  <si>
    <t>Stir-fried vegetable B.3</t>
  </si>
  <si>
    <t>Stir-fried vegetable B.4</t>
  </si>
  <si>
    <t>Blanched chye sim B.1</t>
  </si>
  <si>
    <t>Blanched chye sim B.2</t>
  </si>
  <si>
    <t>Blanched chye sim B.3</t>
  </si>
  <si>
    <t>Blanched chye sim B.4</t>
  </si>
  <si>
    <t>Blanched chye sim B.5</t>
  </si>
  <si>
    <t>Blanced spring onion B.1</t>
  </si>
  <si>
    <t>Blanced spring onion B.2</t>
  </si>
  <si>
    <t>Blanced spring onion B.3</t>
  </si>
  <si>
    <t>Blanced spring onion B.4</t>
  </si>
  <si>
    <t>Blanced spring onion B.5</t>
  </si>
  <si>
    <t>Sum</t>
  </si>
  <si>
    <t>Man power</t>
  </si>
  <si>
    <t>1. Prepare Veg</t>
  </si>
  <si>
    <t>People</t>
  </si>
  <si>
    <t>Sup</t>
  </si>
  <si>
    <t>2. Prepare rice</t>
  </si>
  <si>
    <t>Leader</t>
  </si>
  <si>
    <t>3. Cooking</t>
  </si>
  <si>
    <t>PE</t>
  </si>
  <si>
    <t>4.Cleaning</t>
  </si>
  <si>
    <t>Checker</t>
  </si>
  <si>
    <t>Total</t>
  </si>
  <si>
    <t>Combi 5</t>
  </si>
  <si>
    <t>Produce @ Stage 2</t>
  </si>
  <si>
    <t>Beehoon Sauce/Garilc chop 8.5 B.</t>
  </si>
  <si>
    <t>1-2 mm</t>
  </si>
  <si>
    <t>Spring onion Ginger oil 8.5 B.</t>
  </si>
  <si>
    <t>Cutting Red Chili 8.5 B.</t>
  </si>
  <si>
    <t>3 mm</t>
  </si>
  <si>
    <t>Cutting Chinese cabbage 6 B.</t>
  </si>
  <si>
    <t>10-12x60-120 mm</t>
  </si>
  <si>
    <t xml:space="preserve">Spring Onion Chicken with Noodles </t>
  </si>
  <si>
    <t>Spring onion oil/Spring onion Cut 5 B.</t>
  </si>
  <si>
    <t>100-150 mm</t>
  </si>
  <si>
    <t>Spring onion braising sauce/Garlic Chop 5 B.</t>
  </si>
  <si>
    <t>1-3 mm</t>
  </si>
  <si>
    <t>Spring onion braising sauce/Ginger Chop 5 B.</t>
  </si>
  <si>
    <t>Noodles Sauce/Garlic Chop 5 B.</t>
  </si>
  <si>
    <t>2-3 mm</t>
  </si>
  <si>
    <t>Creamy Mushroom Sauce/Garilc chop 2 B.</t>
  </si>
  <si>
    <t>Creamy Mushroom Sauce/White Onion 2 B.</t>
  </si>
  <si>
    <t>4-6 mm</t>
  </si>
  <si>
    <t>Creamy Mushroom Sauce/Prepare Mushroom 2 B.</t>
  </si>
  <si>
    <t>Creamy Mushroom Sauce/Mushroom cut 2 B.</t>
  </si>
  <si>
    <t>1x4-1x6 cm</t>
  </si>
  <si>
    <t>Paprika Sauce/Parsley Chop 2 B.</t>
  </si>
  <si>
    <t>Paprika Sauce/White Onion Slice 2 B.</t>
  </si>
  <si>
    <t xml:space="preserve">Prepare Spinach </t>
  </si>
  <si>
    <t xml:space="preserve"> Spinach cut 2 B.</t>
  </si>
  <si>
    <t>10 mm</t>
  </si>
  <si>
    <r>
      <rPr>
        <sz val="16"/>
        <color rgb="FF000000"/>
        <rFont val="AngsanaUPC"/>
        <family val="1"/>
        <charset val="222"/>
      </rPr>
      <t xml:space="preserve">Fish in Oriental Sauce with Short Grain Rice </t>
    </r>
    <r>
      <rPr>
        <sz val="16"/>
        <color rgb="FFFF0000"/>
        <rFont val="AngsanaUPC"/>
        <family val="1"/>
        <charset val="222"/>
      </rPr>
      <t>(MU)</t>
    </r>
  </si>
  <si>
    <t>Steam Shot grain Rice 1/1</t>
  </si>
  <si>
    <t>Steam Shot grain Rice 1/2</t>
  </si>
  <si>
    <t>Steam Shot grain Rice 1/3</t>
  </si>
  <si>
    <t>Steam Shot grain Rice 2/1</t>
  </si>
  <si>
    <t>Steam Shot grain Rice 2/2</t>
  </si>
  <si>
    <t>Steam Shot grain Rice 2/3</t>
  </si>
  <si>
    <t>Fried garlic (Noodle mixed) 8.5 batch</t>
  </si>
  <si>
    <t>Spring onion ginger oil 8.5 batch</t>
  </si>
  <si>
    <t>Beehoon Sauce B.1-3</t>
  </si>
  <si>
    <t>Beehoon Sauce B.4-6</t>
  </si>
  <si>
    <t xml:space="preserve">Beehoon Sauce B.7-8.5 </t>
  </si>
  <si>
    <t>Oriental Sauce 4 batch</t>
  </si>
  <si>
    <t>Oriental Sauce 4.5 batch</t>
  </si>
  <si>
    <t>Prepare Noodle 4 batch</t>
  </si>
  <si>
    <t>Paprika Potato Sauce (2batch)</t>
  </si>
  <si>
    <t>Creamy Mushroom Sauce B.1</t>
  </si>
  <si>
    <t>Creamy Mushroom Sauce B.2</t>
  </si>
  <si>
    <t>Fried IQF Potato B.1</t>
  </si>
  <si>
    <t>Fried IQF Potato B.2</t>
  </si>
  <si>
    <t>Spring onion Oil 5 batch</t>
  </si>
  <si>
    <t>Noodle Sauce B.1</t>
  </si>
  <si>
    <t>Noodle Sauce B.2</t>
  </si>
  <si>
    <t>Noodle Sauce B.3</t>
  </si>
  <si>
    <t>Noodle Sauce B.4</t>
  </si>
  <si>
    <t>Noodle Sauce B.5</t>
  </si>
  <si>
    <t>Braising sauce B.1-2</t>
  </si>
  <si>
    <t>Braising sauce B.3-4</t>
  </si>
  <si>
    <t>Braising sauce B.5</t>
  </si>
  <si>
    <t>Baked fiat noodle B.1</t>
  </si>
  <si>
    <t>Baked fiat noodle B.2</t>
  </si>
  <si>
    <t>Baked fiat noodle B.3</t>
  </si>
  <si>
    <t>Baked fiat noodle B.4</t>
  </si>
  <si>
    <t>Baked fiat noodle B.5</t>
  </si>
  <si>
    <t>Support Prepare Veg. 2 people</t>
  </si>
  <si>
    <t>26/3/2026</t>
  </si>
  <si>
    <t>Western Chicken Patties/Parsley chop</t>
  </si>
  <si>
    <t>size 1-3 mm</t>
  </si>
  <si>
    <t>Stir-Fried vegetable/Chinese cabbage cut</t>
  </si>
  <si>
    <t>Blanched spring onion/spring onion cut</t>
  </si>
  <si>
    <t>size 20-30 mm</t>
  </si>
  <si>
    <t>Wash Chinese cabbage</t>
  </si>
  <si>
    <t>Wash spring onion</t>
  </si>
  <si>
    <t>Prepare Parsley</t>
  </si>
  <si>
    <t>Sqeeze spinach</t>
  </si>
  <si>
    <t>White onion chop</t>
  </si>
  <si>
    <t>Parsley chop</t>
  </si>
  <si>
    <t>spinach cut</t>
  </si>
  <si>
    <t>Choy sim cut</t>
  </si>
  <si>
    <t>Prepare Kernal corn</t>
  </si>
  <si>
    <t>Thawing Spinach</t>
  </si>
  <si>
    <t>Ginger Spring onion</t>
  </si>
  <si>
    <t>Forming Chicken Patties 3 B.</t>
  </si>
  <si>
    <t>Forming Chicken Patties 2 B.</t>
  </si>
  <si>
    <t>Blanched spring onion B.3</t>
  </si>
  <si>
    <t>Blanched spring onion B.4</t>
  </si>
  <si>
    <t>Blanched spring onion B.5</t>
  </si>
  <si>
    <t>Blanched spring onion B.6</t>
  </si>
  <si>
    <t>Blanched spring onion B.7</t>
  </si>
  <si>
    <t>Blanched spring onion B.8</t>
  </si>
  <si>
    <t>Blanched spring onion B.9</t>
  </si>
  <si>
    <t>Blanched spring onion B.10</t>
  </si>
  <si>
    <t>Blanched spring onion B.11</t>
  </si>
  <si>
    <t>Blanched spring onion B.12</t>
  </si>
  <si>
    <t>Blanched chye sim B.6</t>
  </si>
  <si>
    <t>Blanched chye sim B.7</t>
  </si>
  <si>
    <t>Blanched chye sim B.8</t>
  </si>
  <si>
    <t>Blanched chye sim B.9</t>
  </si>
  <si>
    <t>Blanched chye sim B.10</t>
  </si>
  <si>
    <t>Blanched chye sim B.11</t>
  </si>
  <si>
    <t>Blanched chye sim B.12</t>
  </si>
  <si>
    <t>Stir-Fried vegetable B.1</t>
  </si>
  <si>
    <t>Stir-Fried vegetable B.2</t>
  </si>
  <si>
    <t>Stir-Fried vegetable B.3</t>
  </si>
  <si>
    <t>Stir-Fried vegetable B.4</t>
  </si>
  <si>
    <t>Stir-Fried vegetable B.5</t>
  </si>
  <si>
    <t>Stir-Fried vegetable B.6</t>
  </si>
  <si>
    <t>Stir-Fried vegetable B.7</t>
  </si>
  <si>
    <t>Stir-Fried vegetable B.8</t>
  </si>
  <si>
    <t>Stir-Fried vegetable B.9</t>
  </si>
  <si>
    <t>Stir-Fried vegetable B.10</t>
  </si>
  <si>
    <t>Stir-Fried vegetable B.11</t>
  </si>
  <si>
    <t>Stir-Fried vegetable B.12</t>
  </si>
  <si>
    <t>Stir-Fried vegetable B.13</t>
  </si>
  <si>
    <t>Stir-Fried vegetable B.14</t>
  </si>
  <si>
    <t>Blanched &amp; Stir-fried noodle B.1</t>
  </si>
  <si>
    <t>Blanched &amp; Stir-fried noodle B.2</t>
  </si>
  <si>
    <t>Blanched &amp; Stir-fried noodle B.3</t>
  </si>
  <si>
    <t>Blanched &amp; Stir-fried noodle B.4</t>
  </si>
  <si>
    <t>Blanched &amp; Stir-fried noodle B.5</t>
  </si>
  <si>
    <t>Blanched &amp; Stir-fried noodle B.6</t>
  </si>
  <si>
    <t>Blanched &amp; Stir-fried noodle B.7</t>
  </si>
  <si>
    <t>Blanched &amp; Stir-fried noodle B.8</t>
  </si>
  <si>
    <t>Blanched &amp; Stir-fried noodle B.9</t>
  </si>
  <si>
    <t>Blanched &amp; Stir-fried noodle B.10</t>
  </si>
  <si>
    <t>Blanched &amp; Stir-fried noodle B.11</t>
  </si>
  <si>
    <t>Oriental sauce B.1-2</t>
  </si>
  <si>
    <t>Baked chicken patties B.1</t>
  </si>
  <si>
    <t>Baked chicken patties B.2</t>
  </si>
  <si>
    <t>Baked chicken patties B.3</t>
  </si>
  <si>
    <t>Baked chicken patties B.4</t>
  </si>
  <si>
    <t>Baked chicken patties B.5</t>
  </si>
  <si>
    <t>Herb for Scrambled Egg 5 batch</t>
  </si>
  <si>
    <t>Scrambled Egg plain 1/1</t>
  </si>
  <si>
    <t>Blender</t>
  </si>
  <si>
    <t>Peeling</t>
  </si>
  <si>
    <t>Robocoub dicer</t>
  </si>
  <si>
    <t>Egg filing</t>
  </si>
  <si>
    <t>Deep fry5</t>
  </si>
  <si>
    <t>Creamy Mushroom Sauce/Garilc chop 5 B.</t>
  </si>
  <si>
    <t>Creamy Mushroom Sauce/White Onion 5 B.</t>
  </si>
  <si>
    <t>Creamy Mushroom Sauce/Prepare Mushroom 5 B.</t>
  </si>
  <si>
    <t>Creamy Mushroom Sauce/Mushroom cut 5 B.</t>
  </si>
  <si>
    <t>Paprika Sauce/Parsley Chop 5 B.</t>
  </si>
  <si>
    <t>Paprika Sauce/White Onion Slice 5 B.</t>
  </si>
  <si>
    <r>
      <rPr>
        <sz val="16"/>
        <color rgb="FF000000"/>
        <rFont val="AngsanaUPC"/>
        <family val="1"/>
        <charset val="222"/>
      </rPr>
      <t xml:space="preserve">Chye sim cut 9 B. </t>
    </r>
    <r>
      <rPr>
        <sz val="16"/>
        <color rgb="FFFF0000"/>
        <rFont val="AngsanaUPC"/>
        <family val="1"/>
        <charset val="222"/>
      </rPr>
      <t>ยังไม่ได้ล้าง</t>
    </r>
  </si>
  <si>
    <t>3-4 cm</t>
  </si>
  <si>
    <t>Paprika Potato Sauce (5batch)</t>
  </si>
  <si>
    <t>Creamy Mushroom Sauce B.3</t>
  </si>
  <si>
    <t>Creamy Mushroom Sauce B.4</t>
  </si>
  <si>
    <t>Creamy Mushroom Sauce B.5</t>
  </si>
  <si>
    <t>Ster-Fried Chicken B.1/1</t>
  </si>
  <si>
    <t>ขอยืมซอสจากฝั่งสุกมาใช้ผัดไก่ 60kg.</t>
  </si>
  <si>
    <t>Ster-Fried Chicken B.1/2</t>
  </si>
  <si>
    <t>Ster-Fried Chicken B.2/1</t>
  </si>
  <si>
    <t>Ster-Fried Chicken B.2/2</t>
  </si>
  <si>
    <t>Ster-Fried Chicken B.3/1</t>
  </si>
  <si>
    <t>Ster-Fried Chicken B.3/2</t>
  </si>
  <si>
    <t>Ster-Fried Chicken B.4/1</t>
  </si>
  <si>
    <t>Ster-Fried Chicken B.4/2</t>
  </si>
  <si>
    <t>Ster-Fried Chicken B.5/1</t>
  </si>
  <si>
    <t>Ster-Fried Chicken B.5/2</t>
  </si>
  <si>
    <t>Cooked Chicken B.1/1</t>
  </si>
  <si>
    <t>Cooked Chicken B.1/2</t>
  </si>
  <si>
    <t>Cooked Chicken B.2/1</t>
  </si>
  <si>
    <t>Cooked Chicken B.2/2</t>
  </si>
  <si>
    <t>Cooked Chicken B.3/1</t>
  </si>
  <si>
    <t>Cooked Chicken B.3/2</t>
  </si>
  <si>
    <t>Cooked Chicken B.4/1</t>
  </si>
  <si>
    <t>Cooked Chicken B.4/2</t>
  </si>
  <si>
    <t>Cooked Chicken B.5/1</t>
  </si>
  <si>
    <t>Cooked Chicken B.5/2</t>
  </si>
  <si>
    <t>Fried Fish B.1</t>
  </si>
  <si>
    <t>Fried Fish B.2</t>
  </si>
  <si>
    <t>Fried Fish B.3</t>
  </si>
  <si>
    <t>Fried Fish B.4</t>
  </si>
  <si>
    <t>Fried Fish B.5</t>
  </si>
  <si>
    <t>Fried Fish B.6</t>
  </si>
  <si>
    <t>Fried Fish B.7/1</t>
  </si>
  <si>
    <t>25/3/2026</t>
  </si>
  <si>
    <t>Support Prepare meat</t>
  </si>
  <si>
    <t>Support Cooking</t>
  </si>
  <si>
    <t>Baked Chicken Patties 3 batch</t>
  </si>
  <si>
    <t>Baked Pasta with Chicken Tomato Ragout (MU)</t>
  </si>
  <si>
    <t>Boiled Fusilli Pasta 9/1</t>
  </si>
  <si>
    <t>Boiled Fusilli Pasta 9/2</t>
  </si>
  <si>
    <t>Boiled Fusilli Pasta 10/1</t>
  </si>
  <si>
    <t>Boiled Fusilli Pasta 10/2</t>
  </si>
  <si>
    <t>Boiled Fusilli Pasta 11/1</t>
  </si>
  <si>
    <t>Boiled Fusilli Pasta 11/2</t>
  </si>
  <si>
    <t>Chicken ragout with pasta, Mushroom Cream sauce (Bento)</t>
  </si>
  <si>
    <t>Boiled Penne Pasta 1/1</t>
  </si>
  <si>
    <t>Boiled Penne Pasta 1/2</t>
  </si>
  <si>
    <t>Boiled Penne Pasta 2/1</t>
  </si>
  <si>
    <t>Boiled Penne Pasta 2/2</t>
  </si>
  <si>
    <t>Boiled Penne Pasta 3/1</t>
  </si>
  <si>
    <t>Boiled Penne Pasta 3/2</t>
  </si>
  <si>
    <t>Boiled Penne Pasta 4/1</t>
  </si>
  <si>
    <t>Boiled Penne Pasta 4/2</t>
  </si>
  <si>
    <t>Boiled Penne Pasta 5/1</t>
  </si>
  <si>
    <t>Boiled Penne Pasta 5/2</t>
  </si>
  <si>
    <t>Boiled Penne Pasta 6/1</t>
  </si>
  <si>
    <t>Boiled Penne Pasta 6/2</t>
  </si>
  <si>
    <t>Boiled Penne Pasta 7/1</t>
  </si>
  <si>
    <t>Boiled Penne Pasta 7/2</t>
  </si>
  <si>
    <t>Boiled Penne Pasta 8/1</t>
  </si>
  <si>
    <t>Boiled Penne Pasta 8/2</t>
  </si>
  <si>
    <t>Boiled Penne Pasta 9/1</t>
  </si>
  <si>
    <t>Boiled Penne Pasta 9/2</t>
  </si>
  <si>
    <t>Boiled Penne Pasta 10/1</t>
  </si>
  <si>
    <t>Boiled Penne Pasta 10/2</t>
  </si>
  <si>
    <t>Boiled Penne Pasta 11/1</t>
  </si>
  <si>
    <t>Boiled Penne Pasta 11/2</t>
  </si>
  <si>
    <t>Boiled Penne Pasta 12/1</t>
  </si>
  <si>
    <t>Boiled Penne Pasta 12/2</t>
  </si>
  <si>
    <t>Boiled Penne Pasta 13/1</t>
  </si>
  <si>
    <t>Boiled Penne Pasta 13/2</t>
  </si>
  <si>
    <t>Boiled Penne Pasta 14/1</t>
  </si>
  <si>
    <t>Boiled Penne Pasta 14/2</t>
  </si>
  <si>
    <t>Baked Chicken Patties B.1</t>
  </si>
  <si>
    <t>Baked Chicken Patties B.2</t>
  </si>
  <si>
    <t>Baked Chicken Patties B.3</t>
  </si>
  <si>
    <r>
      <rPr>
        <sz val="16"/>
        <color rgb="FF000000"/>
        <rFont val="AngsanaUPC"/>
        <family val="1"/>
        <charset val="222"/>
      </rPr>
      <t xml:space="preserve">Chicken ragout with pasta, Mushroom Cream sauce </t>
    </r>
    <r>
      <rPr>
        <sz val="16"/>
        <color rgb="FFFF0000"/>
        <rFont val="AngsanaUPC"/>
        <family val="1"/>
        <charset val="222"/>
      </rPr>
      <t>(Bento)</t>
    </r>
  </si>
  <si>
    <t>Chicken ragout Sauce/Prepare Mushroom 5 B.</t>
  </si>
  <si>
    <t>Chicken ragout Sauce/Mushroom Cut 5 B.</t>
  </si>
  <si>
    <t>5 mm</t>
  </si>
  <si>
    <t xml:space="preserve">Spring onion Ginger oil/Garlic 2 B. </t>
  </si>
  <si>
    <t>Herb Scrambled Egg,Paprika Potatoes, Spinach Corn,Chicken Patties,Creamy Mushroom</t>
  </si>
  <si>
    <t>Tomato concasse for patties/Open Tomto</t>
  </si>
  <si>
    <t>Tomato concasse for patties/Tomato Chop 8 B.</t>
  </si>
  <si>
    <t>Parsley Chop 8 B.</t>
  </si>
  <si>
    <t xml:space="preserve"> Chicken Ragout Sauce B.1</t>
  </si>
  <si>
    <t xml:space="preserve"> Chicken Ragout Sauce B.2</t>
  </si>
  <si>
    <t xml:space="preserve"> Chicken Ragout Sauce B.3</t>
  </si>
  <si>
    <t xml:space="preserve"> Chicken Ragout Sauce B.4</t>
  </si>
  <si>
    <t xml:space="preserve"> Chicken Ragout Sauce B.5</t>
  </si>
  <si>
    <t xml:space="preserve"> Chicken Ragout Sauce B.6</t>
  </si>
  <si>
    <t xml:space="preserve"> Chicken Ragout Sauce B.7</t>
  </si>
  <si>
    <t xml:space="preserve"> Chicken Ragout Sauce B.8</t>
  </si>
  <si>
    <t xml:space="preserve"> Chicken Ragout Sauce B.9</t>
  </si>
  <si>
    <t xml:space="preserve"> Chicken Ragout Sauce B.10</t>
  </si>
  <si>
    <t xml:space="preserve"> Chicken Ragout Sauce B.11</t>
  </si>
  <si>
    <t xml:space="preserve"> Chicken Ragout Sauce B.12</t>
  </si>
  <si>
    <t xml:space="preserve"> Chicken Ragout Sauce B.13</t>
  </si>
  <si>
    <r>
      <rPr>
        <sz val="16"/>
        <color rgb="FF000000"/>
        <rFont val="AngsanaUPC"/>
        <family val="1"/>
        <charset val="222"/>
      </rPr>
      <t xml:space="preserve">Spring onion ginger Oil </t>
    </r>
    <r>
      <rPr>
        <sz val="16"/>
        <color rgb="FFFF0000"/>
        <rFont val="AngsanaUPC"/>
        <family val="1"/>
        <charset val="222"/>
      </rPr>
      <t>(2batch)</t>
    </r>
  </si>
  <si>
    <t>Spring onion Oil B.1-11</t>
  </si>
  <si>
    <t>Noodle Sauce B.6</t>
  </si>
  <si>
    <t>Noodle Sauce B.7</t>
  </si>
  <si>
    <t>Noodle Sauce B.8</t>
  </si>
  <si>
    <t>Noodle Sauce B.9</t>
  </si>
  <si>
    <t>Noodle Sauce B.10</t>
  </si>
  <si>
    <t>Noodle Sauce B.11</t>
  </si>
  <si>
    <t>Braising sauce B.5-6</t>
  </si>
  <si>
    <t>Braising sauce B.7-8</t>
  </si>
  <si>
    <t>Braising sauce B.9-10</t>
  </si>
  <si>
    <t>Braising sauce B.11</t>
  </si>
  <si>
    <t>Ster-Fried Chicken B.6/1</t>
  </si>
  <si>
    <t>Ster-Fried Chicken B.6/2</t>
  </si>
  <si>
    <t>Ster-Fried Chicken B.7/1</t>
  </si>
  <si>
    <t>Ster-Fried Chicken B.7/2</t>
  </si>
  <si>
    <t>Ster-Fried Chicken B.8/1</t>
  </si>
  <si>
    <t>Ster-Fried Chicken B.8/2</t>
  </si>
  <si>
    <t>Ster-Fried Chicken B.9/1</t>
  </si>
  <si>
    <t>Ster-Fried Chicken B.9/2</t>
  </si>
  <si>
    <t>Ster-Fried Chicken B.10/1</t>
  </si>
  <si>
    <t>Ster-Fried Chicken B.10/2</t>
  </si>
  <si>
    <t>Ster-Fried Chicken B.11/1</t>
  </si>
  <si>
    <t>Ster-Fried Chicken B.11/2</t>
  </si>
  <si>
    <r>
      <rPr>
        <sz val="16"/>
        <color rgb="FF000000"/>
        <rFont val="AngsanaUPC"/>
        <family val="1"/>
        <charset val="222"/>
      </rPr>
      <t xml:space="preserve">Ster-Fried Chicken B.12/1 </t>
    </r>
    <r>
      <rPr>
        <sz val="16"/>
        <color rgb="FFFF0000"/>
        <rFont val="AngsanaUPC"/>
        <family val="1"/>
        <charset val="222"/>
      </rPr>
      <t>(0.5batch)</t>
    </r>
  </si>
  <si>
    <t>Cooked Chicken B.6/1</t>
  </si>
  <si>
    <t>Cooked Chicken B.6/2</t>
  </si>
  <si>
    <t>Cooked Chicken B.7/1</t>
  </si>
  <si>
    <t>Cooked Chicken B.7/2</t>
  </si>
  <si>
    <t>Cooked Chicken B.8/1</t>
  </si>
  <si>
    <t>Cooked Chicken B.8/2</t>
  </si>
  <si>
    <t>Cooked Chicken B.9/1</t>
  </si>
  <si>
    <t>Cooked Chicken B.9/2</t>
  </si>
  <si>
    <t>Cooked Chicken B.10/1</t>
  </si>
  <si>
    <t>Cooked Chicken B.10/2</t>
  </si>
  <si>
    <t>Cooked Chicken B.11/1</t>
  </si>
  <si>
    <t>Cooked Chicken B.11/2</t>
  </si>
  <si>
    <r>
      <rPr>
        <sz val="16"/>
        <color rgb="FF000000"/>
        <rFont val="AngsanaUPC"/>
        <family val="1"/>
        <charset val="222"/>
      </rPr>
      <t xml:space="preserve">Cooked Chicken B.12/1 </t>
    </r>
    <r>
      <rPr>
        <sz val="16"/>
        <color rgb="FFFF0000"/>
        <rFont val="AngsanaUPC"/>
        <family val="1"/>
        <charset val="222"/>
      </rPr>
      <t>(0.5batch)</t>
    </r>
  </si>
  <si>
    <t>Tomato concasse for Patties B.1-8</t>
  </si>
  <si>
    <t>Creamy Mushroom Sauce/Garilc chop 4 B.</t>
  </si>
  <si>
    <t>Creamy Mushroom Sauce/White Onion 4 B.</t>
  </si>
  <si>
    <t>Creamy Mushroom Sauce/Prepare Mushroom 4 B.</t>
  </si>
  <si>
    <t>Creamy Mushroom Sauce/Mushroom cut 4 B.</t>
  </si>
  <si>
    <t>Paprika Sauce/Parsley Chop 8 B.</t>
  </si>
  <si>
    <t>Paprika Sauce/White Onion Slice 8 B.</t>
  </si>
  <si>
    <t>Spinach cut 8 B.</t>
  </si>
  <si>
    <t>Parsley Chop 5 B.</t>
  </si>
  <si>
    <t>Paprika Potato Sauce (4 batch)</t>
  </si>
  <si>
    <t>Support Prepare Veg. 9 people</t>
  </si>
  <si>
    <r>
      <rPr>
        <sz val="16"/>
        <color rgb="FF000000"/>
        <rFont val="AngsanaUPC"/>
        <family val="1"/>
        <charset val="222"/>
      </rPr>
      <t xml:space="preserve">Chicken Pasta in Tomato and Basil Sauce </t>
    </r>
    <r>
      <rPr>
        <sz val="16"/>
        <color rgb="FFFF0000"/>
        <rFont val="AngsanaUPC"/>
        <family val="1"/>
        <charset val="222"/>
      </rPr>
      <t>(Bento)</t>
    </r>
  </si>
  <si>
    <t>Western Grill Chicken B.1</t>
  </si>
  <si>
    <t>Western Grill Chicken B.2</t>
  </si>
  <si>
    <t>Western Grill Chicken B.3</t>
  </si>
  <si>
    <t>Western Grill Chicken B.4</t>
  </si>
  <si>
    <t>Western Grill Chicken B.5</t>
  </si>
  <si>
    <t>Western Grill Chicken B.6</t>
  </si>
  <si>
    <t>Western Grill Chicken B.7</t>
  </si>
  <si>
    <t>Western Grill Chicken B.8</t>
  </si>
  <si>
    <t>Steam Pamesan Cheese &amp; Parsley (3 batch)</t>
  </si>
  <si>
    <r>
      <rPr>
        <sz val="16"/>
        <color rgb="FF000000"/>
        <rFont val="AngsanaUPC"/>
        <family val="1"/>
        <charset val="222"/>
      </rPr>
      <t xml:space="preserve">Creamy Chicken and Mushroom with Pasta </t>
    </r>
    <r>
      <rPr>
        <sz val="16"/>
        <color rgb="FFFF0000"/>
        <rFont val="AngsanaUPC"/>
        <family val="1"/>
        <charset val="222"/>
      </rPr>
      <t>(Bento)</t>
    </r>
  </si>
  <si>
    <t>Western Grill Chicken cube B.1</t>
  </si>
  <si>
    <t>Western Grill Chicken cube B.2</t>
  </si>
  <si>
    <t>Western Grill Chicken cube B.3</t>
  </si>
  <si>
    <t>Western Grill Chicken cube B.4</t>
  </si>
  <si>
    <t>Western Grill Chicken cube B.5</t>
  </si>
  <si>
    <t>Fried fish B.1</t>
  </si>
  <si>
    <t>Fried fish B.2</t>
  </si>
  <si>
    <t>Fried fish B.3</t>
  </si>
  <si>
    <t>Fried fish B.4</t>
  </si>
  <si>
    <t>Fried fish B.5</t>
  </si>
  <si>
    <t>Fried fish B.6</t>
  </si>
  <si>
    <t>Fried fish B.7</t>
  </si>
  <si>
    <t>Fried fish B.8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</si>
</sst>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h:mm\ AM/PM;@"/>
    <numFmt numFmtId="165" formatCode="[$-1000000]h:mm:ss;@"/>
    <numFmt numFmtId="166" formatCode="h:mm;@"/>
    <numFmt numFmtId="167" formatCode="_(* #,##0.00_);_(* \(#,##0.00\);_(* &quot;-&quot;??_);_(@_)"/>
    <numFmt numFmtId="168" formatCode="0.0%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charset val="222"/>
      <scheme val="minor"/>
    </font>
    <font>
      <b/>
      <sz val="16"/>
      <color theme="1"/>
      <name val="AngsanaUPC"/>
      <family val="1"/>
    </font>
    <font>
      <sz val="16"/>
      <color theme="1"/>
      <name val="AngsanaUPC"/>
      <family val="1"/>
    </font>
    <font>
      <sz val="16"/>
      <color rgb="FF000000"/>
      <name val="AngsanaUPC"/>
      <family val="1"/>
    </font>
    <font>
      <sz val="16"/>
      <color rgb="FFFF0000"/>
      <name val="AngsanaUPC"/>
      <family val="1"/>
    </font>
    <font>
      <sz val="16"/>
      <color theme="1"/>
      <name val="Angsana New"/>
      <family val="1"/>
    </font>
    <font>
      <b/>
      <sz val="26"/>
      <color theme="1"/>
      <name val="AngsanaUPC"/>
      <family val="1"/>
      <charset val="222"/>
    </font>
    <font>
      <b/>
      <u/>
      <sz val="16"/>
      <color theme="1"/>
      <name val="AngsanaUPC"/>
      <family val="1"/>
    </font>
    <font>
      <sz val="16"/>
      <color rgb="FFFF0000"/>
      <name val="Angsana New"/>
      <family val="1"/>
      <charset val="222"/>
    </font>
    <font>
      <sz val="16"/>
      <color theme="1"/>
      <name val="AngsanaUPC"/>
      <family val="1"/>
      <charset val="222"/>
    </font>
    <font>
      <sz val="16"/>
      <color rgb="FF000000"/>
      <name val="AngsanaUPC"/>
      <family val="1"/>
      <charset val="222"/>
    </font>
    <font>
      <sz val="16"/>
      <color rgb="FFFF0000"/>
      <name val="AngsanaUPC"/>
      <family val="1"/>
      <charset val="222"/>
    </font>
    <font>
      <sz val="16"/>
      <color rgb="FF242424"/>
      <name val="AngsanaUPC"/>
      <family val="1"/>
    </font>
    <font>
      <sz val="14"/>
      <color rgb="FF000000"/>
      <name val="AngsanaUPC"/>
      <family val="1"/>
      <charset val="222"/>
    </font>
    <font>
      <sz val="16"/>
      <color rgb="FFFF0000"/>
      <name val="Angsana New"/>
      <family val="1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top"/>
    </xf>
    <xf numFmtId="164" fontId="3" fillId="2" borderId="1" xfId="0" applyNumberFormat="1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top"/>
    </xf>
    <xf numFmtId="15" fontId="4" fillId="0" borderId="1" xfId="0" quotePrefix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4" xfId="0" applyFont="1" applyBorder="1" applyAlignment="1">
      <alignment horizontal="left" vertical="center"/>
    </xf>
    <xf numFmtId="0" fontId="4" fillId="0" borderId="1" xfId="0" quotePrefix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2" fontId="6" fillId="0" borderId="1" xfId="0" applyNumberFormat="1" applyFont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1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5" xfId="0" applyFont="1" applyBorder="1"/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quotePrefix="1" applyFont="1" applyAlignment="1">
      <alignment horizontal="center" vertical="center"/>
    </xf>
    <xf numFmtId="0" fontId="4" fillId="0" borderId="5" xfId="0" quotePrefix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9" fontId="4" fillId="0" borderId="1" xfId="0" quotePrefix="1" applyNumberFormat="1" applyFont="1" applyBorder="1" applyAlignment="1">
      <alignment horizontal="center" vertical="center"/>
    </xf>
    <xf numFmtId="0" fontId="4" fillId="0" borderId="2" xfId="0" applyFont="1" applyBorder="1"/>
    <xf numFmtId="0" fontId="4" fillId="0" borderId="5" xfId="0" applyFont="1" applyBorder="1" applyAlignment="1">
      <alignment horizontal="center" vertical="center"/>
    </xf>
    <xf numFmtId="15" fontId="4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/>
    </xf>
    <xf numFmtId="166" fontId="4" fillId="3" borderId="1" xfId="0" applyNumberFormat="1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7" fillId="0" borderId="1" xfId="0" applyFont="1" applyBorder="1" applyAlignment="1">
      <alignment horizontal="center" vertical="center"/>
    </xf>
    <xf numFmtId="15" fontId="4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left" vertical="center"/>
    </xf>
    <xf numFmtId="0" fontId="4" fillId="4" borderId="1" xfId="0" quotePrefix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/>
    </xf>
    <xf numFmtId="166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2" fontId="6" fillId="4" borderId="1" xfId="0" applyNumberFormat="1" applyFont="1" applyFill="1" applyBorder="1" applyAlignment="1">
      <alignment horizontal="center"/>
    </xf>
    <xf numFmtId="2" fontId="4" fillId="4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0" fontId="2" fillId="4" borderId="0" xfId="0" applyFont="1" applyFill="1"/>
    <xf numFmtId="0" fontId="4" fillId="3" borderId="1" xfId="0" quotePrefix="1" applyFont="1" applyFill="1" applyBorder="1" applyAlignment="1">
      <alignment horizontal="center" vertical="center"/>
    </xf>
    <xf numFmtId="15" fontId="4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 wrapText="1"/>
    </xf>
    <xf numFmtId="164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4" fillId="0" borderId="6" xfId="0" quotePrefix="1" applyFont="1" applyBorder="1" applyAlignment="1">
      <alignment horizontal="center" vertical="center"/>
    </xf>
    <xf numFmtId="166" fontId="4" fillId="0" borderId="6" xfId="0" applyNumberFormat="1" applyFont="1" applyBorder="1" applyAlignment="1">
      <alignment horizontal="center"/>
    </xf>
    <xf numFmtId="15" fontId="4" fillId="3" borderId="6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 wrapText="1"/>
    </xf>
    <xf numFmtId="0" fontId="4" fillId="3" borderId="6" xfId="0" applyFont="1" applyFill="1" applyBorder="1" applyAlignment="1">
      <alignment horizontal="left" vertical="center"/>
    </xf>
    <xf numFmtId="164" fontId="4" fillId="3" borderId="6" xfId="0" applyNumberFormat="1" applyFont="1" applyFill="1" applyBorder="1" applyAlignment="1">
      <alignment horizontal="center"/>
    </xf>
    <xf numFmtId="166" fontId="4" fillId="3" borderId="6" xfId="0" applyNumberFormat="1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2" fontId="4" fillId="3" borderId="6" xfId="0" applyNumberFormat="1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 vertical="center"/>
    </xf>
    <xf numFmtId="0" fontId="8" fillId="5" borderId="8" xfId="0" applyFont="1" applyFill="1" applyBorder="1" applyAlignment="1">
      <alignment horizontal="center" vertical="center"/>
    </xf>
    <xf numFmtId="167" fontId="8" fillId="5" borderId="8" xfId="1" applyFont="1" applyFill="1" applyBorder="1" applyAlignment="1">
      <alignment horizontal="center" vertical="center"/>
    </xf>
    <xf numFmtId="168" fontId="8" fillId="5" borderId="8" xfId="2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9" fillId="0" borderId="0" xfId="0" applyNumberFormat="1" applyFont="1"/>
    <xf numFmtId="164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164" fontId="4" fillId="0" borderId="6" xfId="0" applyNumberFormat="1" applyFont="1" applyBorder="1"/>
    <xf numFmtId="0" fontId="10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/>
    </xf>
    <xf numFmtId="2" fontId="6" fillId="0" borderId="1" xfId="0" quotePrefix="1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4" xfId="0" quotePrefix="1" applyFont="1" applyBorder="1" applyAlignment="1">
      <alignment horizontal="center" vertical="center"/>
    </xf>
    <xf numFmtId="0" fontId="5" fillId="0" borderId="9" xfId="0" applyFont="1" applyBorder="1"/>
    <xf numFmtId="0" fontId="5" fillId="0" borderId="10" xfId="0" applyFont="1" applyBorder="1"/>
    <xf numFmtId="20" fontId="4" fillId="0" borderId="1" xfId="0" applyNumberFormat="1" applyFont="1" applyBorder="1" applyAlignment="1">
      <alignment horizontal="center"/>
    </xf>
    <xf numFmtId="0" fontId="4" fillId="0" borderId="11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4" fillId="0" borderId="5" xfId="0" applyFont="1" applyBorder="1"/>
    <xf numFmtId="2" fontId="6" fillId="3" borderId="1" xfId="0" applyNumberFormat="1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 vertical="top"/>
    </xf>
    <xf numFmtId="0" fontId="3" fillId="2" borderId="13" xfId="0" applyFont="1" applyFill="1" applyBorder="1" applyAlignment="1">
      <alignment horizontal="center" vertical="top" wrapText="1"/>
    </xf>
    <xf numFmtId="0" fontId="3" fillId="2" borderId="14" xfId="0" applyFont="1" applyFill="1" applyBorder="1" applyAlignment="1">
      <alignment horizontal="center" vertical="top"/>
    </xf>
    <xf numFmtId="0" fontId="11" fillId="0" borderId="1" xfId="0" applyFont="1" applyBorder="1" applyAlignment="1">
      <alignment horizontal="left" vertical="center" wrapText="1"/>
    </xf>
    <xf numFmtId="2" fontId="4" fillId="0" borderId="1" xfId="0" quotePrefix="1" applyNumberFormat="1" applyFont="1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vertical="center"/>
    </xf>
    <xf numFmtId="0" fontId="12" fillId="0" borderId="15" xfId="0" applyFont="1" applyBorder="1" applyAlignment="1">
      <alignment wrapText="1"/>
    </xf>
    <xf numFmtId="0" fontId="4" fillId="0" borderId="2" xfId="0" applyFont="1" applyBorder="1" applyAlignment="1">
      <alignment vertical="center"/>
    </xf>
    <xf numFmtId="9" fontId="4" fillId="0" borderId="4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65" fontId="3" fillId="2" borderId="1" xfId="0" applyNumberFormat="1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 vertical="top"/>
    </xf>
    <xf numFmtId="0" fontId="3" fillId="2" borderId="4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164" fontId="3" fillId="2" borderId="2" xfId="0" applyNumberFormat="1" applyFont="1" applyFill="1" applyBorder="1" applyAlignment="1">
      <alignment horizontal="center" vertical="top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34355-797A-4546-8DC6-A5E27E77B6C6}">
  <sheetPr>
    <pageSetUpPr fitToPage="1"/>
  </sheetPr>
  <dimension ref="A1:AM63"/>
  <sheetViews>
    <sheetView tabSelected="1" zoomScale="70" zoomScaleNormal="70" workbookViewId="0">
      <pane xSplit="12" ySplit="3" topLeftCell="W6" activePane="bottomRight" state="frozen"/>
      <selection activeCell="D38" sqref="D38"/>
      <selection pane="topRight" activeCell="D38" sqref="D38"/>
      <selection pane="bottomLeft" activeCell="D38" sqref="D38"/>
      <selection pane="bottomRight" activeCell="L7" sqref="L7"/>
    </sheetView>
  </sheetViews>
  <sheetFormatPr defaultColWidth="10.21875" defaultRowHeight="18.75" customHeight="1"/>
  <cols>
    <col min="1" max="1" width="3.77734375" style="1" customWidth="1"/>
    <col min="2" max="2" width="16.109375" style="1" customWidth="1"/>
    <col min="3" max="3" width="17.5546875" style="1" customWidth="1"/>
    <col min="4" max="4" width="78.21875" style="1" customWidth="1"/>
    <col min="5" max="5" width="46" style="1" customWidth="1"/>
    <col min="6" max="6" width="25.21875" style="1" customWidth="1"/>
    <col min="7" max="7" width="16" style="1" customWidth="1"/>
    <col min="8" max="8" width="15.109375" style="1" customWidth="1"/>
    <col min="9" max="9" width="22.5546875" style="1" customWidth="1"/>
    <col min="10" max="10" width="12.5546875" style="1" customWidth="1"/>
    <col min="11" max="11" width="17.44140625" style="1" customWidth="1"/>
    <col min="12" max="12" width="19.88671875" style="1" customWidth="1"/>
    <col min="13" max="31" width="16.21875" style="1" customWidth="1"/>
    <col min="32" max="32" width="17.77734375" style="1" customWidth="1"/>
    <col min="33" max="38" width="16.21875" style="1" customWidth="1"/>
    <col min="39" max="39" width="14.44140625" style="1" customWidth="1"/>
    <col min="40" max="16384" width="10.21875" style="1"/>
  </cols>
  <sheetData>
    <row r="1" spans="1:39" ht="18.75" customHeight="1">
      <c r="A1" s="1" t="s">
        <v>0</v>
      </c>
    </row>
    <row r="2" spans="1:39" ht="25.05" customHeight="1">
      <c r="B2" s="114" t="s">
        <v>1</v>
      </c>
      <c r="C2" s="114" t="s">
        <v>2</v>
      </c>
      <c r="D2" s="114" t="s">
        <v>3</v>
      </c>
      <c r="E2" s="114" t="s">
        <v>4</v>
      </c>
      <c r="F2" s="114" t="s">
        <v>5</v>
      </c>
      <c r="G2" s="115" t="s">
        <v>6</v>
      </c>
      <c r="H2" s="115"/>
      <c r="I2" s="109" t="s">
        <v>7</v>
      </c>
      <c r="J2" s="110" t="s">
        <v>8</v>
      </c>
      <c r="K2" s="110" t="s">
        <v>9</v>
      </c>
      <c r="L2" s="110" t="s">
        <v>10</v>
      </c>
      <c r="M2" s="111" t="s">
        <v>11</v>
      </c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3"/>
    </row>
    <row r="3" spans="1:39" ht="46.5" customHeight="1">
      <c r="B3" s="114"/>
      <c r="C3" s="114"/>
      <c r="D3" s="114"/>
      <c r="E3" s="114"/>
      <c r="F3" s="114"/>
      <c r="G3" s="3" t="s">
        <v>12</v>
      </c>
      <c r="H3" s="3" t="s">
        <v>13</v>
      </c>
      <c r="I3" s="109"/>
      <c r="J3" s="110"/>
      <c r="K3" s="110"/>
      <c r="L3" s="110"/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4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</row>
    <row r="4" spans="1:39" ht="25.05" customHeight="1">
      <c r="B4" s="15">
        <v>46108</v>
      </c>
      <c r="C4" s="6" t="s">
        <v>42</v>
      </c>
      <c r="D4" s="80" t="s">
        <v>174</v>
      </c>
      <c r="E4" s="8" t="s">
        <v>43</v>
      </c>
      <c r="F4" s="9" t="s">
        <v>44</v>
      </c>
      <c r="G4" s="10">
        <v>0.79166666666666663</v>
      </c>
      <c r="H4" s="10">
        <v>0.80208333333333337</v>
      </c>
      <c r="I4" s="11">
        <f t="shared" ref="I4:I14" si="0">H4-G4</f>
        <v>1.0416666666666741E-2</v>
      </c>
      <c r="J4" s="12">
        <v>8</v>
      </c>
      <c r="K4" s="81" t="s">
        <v>44</v>
      </c>
      <c r="L4" s="82" t="s">
        <v>44</v>
      </c>
      <c r="M4" s="12"/>
      <c r="N4" s="12"/>
      <c r="O4" s="12"/>
      <c r="P4" s="12"/>
      <c r="Q4" s="12"/>
      <c r="R4" s="14"/>
      <c r="S4" s="14"/>
      <c r="T4" s="12"/>
      <c r="U4" s="12"/>
      <c r="V4" s="14"/>
      <c r="W4" s="14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ht="25.05" customHeight="1">
      <c r="B5" s="15"/>
      <c r="C5" s="16"/>
      <c r="D5" s="23" t="s">
        <v>120</v>
      </c>
      <c r="E5" s="20" t="s">
        <v>454</v>
      </c>
      <c r="F5" s="83" t="s">
        <v>186</v>
      </c>
      <c r="G5" s="10">
        <v>1.0416666666666666E-2</v>
      </c>
      <c r="H5" s="10">
        <v>2.4305555555555556E-2</v>
      </c>
      <c r="I5" s="11">
        <f t="shared" si="0"/>
        <v>1.388888888888889E-2</v>
      </c>
      <c r="J5" s="12">
        <v>1</v>
      </c>
      <c r="K5" s="12">
        <v>7.6</v>
      </c>
      <c r="L5" s="13">
        <f t="shared" ref="L5:L14" si="1">IFERROR(((K5/(J5*I5)/24)),"0")</f>
        <v>22.799999999999997</v>
      </c>
      <c r="M5" s="12">
        <v>20</v>
      </c>
      <c r="N5" s="12"/>
      <c r="O5" s="12"/>
      <c r="P5" s="12"/>
      <c r="Q5" s="12"/>
      <c r="R5" s="14"/>
      <c r="S5" s="14"/>
      <c r="T5" s="12"/>
      <c r="U5" s="12"/>
      <c r="V5" s="14"/>
      <c r="W5" s="14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ht="46.2" customHeight="1">
      <c r="B6" s="15"/>
      <c r="C6" s="16"/>
      <c r="D6" s="7"/>
      <c r="E6" s="20" t="s">
        <v>455</v>
      </c>
      <c r="F6" s="83" t="s">
        <v>192</v>
      </c>
      <c r="G6" s="10">
        <v>2.7777777777777776E-2</v>
      </c>
      <c r="H6" s="10">
        <v>7.6388888888888895E-2</v>
      </c>
      <c r="I6" s="11">
        <f t="shared" si="0"/>
        <v>4.8611111111111119E-2</v>
      </c>
      <c r="J6" s="12">
        <v>1</v>
      </c>
      <c r="K6" s="12">
        <v>54.8</v>
      </c>
      <c r="L6" s="13">
        <f t="shared" si="1"/>
        <v>46.971428571428561</v>
      </c>
      <c r="M6" s="12">
        <v>70</v>
      </c>
      <c r="N6" s="12"/>
      <c r="O6" s="12"/>
      <c r="P6" s="12"/>
      <c r="Q6" s="12"/>
      <c r="R6" s="14"/>
      <c r="S6" s="14"/>
      <c r="T6" s="12"/>
      <c r="U6" s="12"/>
      <c r="V6" s="14"/>
      <c r="W6" s="14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 ht="25.05" customHeight="1">
      <c r="B7" s="15"/>
      <c r="C7" s="16"/>
      <c r="D7" s="7"/>
      <c r="E7" s="20" t="s">
        <v>456</v>
      </c>
      <c r="F7" s="84" t="s">
        <v>44</v>
      </c>
      <c r="G7" s="10">
        <v>1.3888888888888888E-2</v>
      </c>
      <c r="H7" s="10">
        <v>0.125</v>
      </c>
      <c r="I7" s="11">
        <f t="shared" si="0"/>
        <v>0.1111111111111111</v>
      </c>
      <c r="J7" s="12">
        <v>2</v>
      </c>
      <c r="K7" s="12">
        <v>298.8</v>
      </c>
      <c r="L7" s="13">
        <f t="shared" si="1"/>
        <v>56.025000000000006</v>
      </c>
      <c r="M7" s="12"/>
      <c r="N7" s="12"/>
      <c r="O7" s="12"/>
      <c r="P7" s="12"/>
      <c r="Q7" s="12"/>
      <c r="R7" s="14"/>
      <c r="S7" s="14"/>
      <c r="T7" s="12"/>
      <c r="U7" s="12"/>
      <c r="V7" s="14"/>
      <c r="W7" s="14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 ht="25.05" customHeight="1">
      <c r="B8" s="15"/>
      <c r="C8" s="16"/>
      <c r="D8" s="7"/>
      <c r="E8" s="20" t="s">
        <v>457</v>
      </c>
      <c r="F8" s="83" t="s">
        <v>195</v>
      </c>
      <c r="G8" s="10">
        <v>2.0833333333333332E-2</v>
      </c>
      <c r="H8" s="10">
        <v>0.20694444444444443</v>
      </c>
      <c r="I8" s="11">
        <f t="shared" si="0"/>
        <v>0.18611111111111109</v>
      </c>
      <c r="J8" s="12">
        <v>12</v>
      </c>
      <c r="K8" s="12">
        <v>313.83999999999997</v>
      </c>
      <c r="L8" s="13">
        <f t="shared" si="1"/>
        <v>5.8552238805970154</v>
      </c>
      <c r="M8" s="12"/>
      <c r="N8" s="12"/>
      <c r="O8" s="12"/>
      <c r="P8" s="12"/>
      <c r="Q8" s="12"/>
      <c r="R8" s="14"/>
      <c r="S8" s="14">
        <v>268</v>
      </c>
      <c r="T8" s="12"/>
      <c r="U8" s="12"/>
      <c r="V8" s="14"/>
      <c r="W8" s="14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 ht="25.05" customHeight="1">
      <c r="B9" s="15"/>
      <c r="C9" s="16"/>
      <c r="D9" s="7"/>
      <c r="E9" s="88" t="s">
        <v>458</v>
      </c>
      <c r="F9" s="83" t="s">
        <v>186</v>
      </c>
      <c r="G9" s="10">
        <v>0.91319444444444442</v>
      </c>
      <c r="H9" s="10">
        <v>0.92013888888888884</v>
      </c>
      <c r="I9" s="11">
        <f t="shared" si="0"/>
        <v>6.9444444444444198E-3</v>
      </c>
      <c r="J9" s="12">
        <v>1</v>
      </c>
      <c r="K9" s="12">
        <v>8</v>
      </c>
      <c r="L9" s="13">
        <f t="shared" si="1"/>
        <v>48.000000000000171</v>
      </c>
      <c r="M9" s="12">
        <v>10</v>
      </c>
      <c r="N9" s="12"/>
      <c r="O9" s="12"/>
      <c r="P9" s="12"/>
      <c r="Q9" s="12"/>
      <c r="R9" s="14"/>
      <c r="S9" s="14"/>
      <c r="T9" s="12"/>
      <c r="U9" s="12"/>
      <c r="V9" s="14"/>
      <c r="W9" s="14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25.05" customHeight="1">
      <c r="B10" s="15"/>
      <c r="C10" s="16"/>
      <c r="D10" s="7"/>
      <c r="E10" s="89" t="s">
        <v>459</v>
      </c>
      <c r="F10" s="83" t="s">
        <v>192</v>
      </c>
      <c r="G10" s="10">
        <v>0.90625</v>
      </c>
      <c r="H10" s="10">
        <v>0.93055555555555558</v>
      </c>
      <c r="I10" s="11">
        <f t="shared" si="0"/>
        <v>2.430555555555558E-2</v>
      </c>
      <c r="J10" s="12">
        <v>8</v>
      </c>
      <c r="K10" s="12">
        <v>128</v>
      </c>
      <c r="L10" s="13">
        <f t="shared" si="1"/>
        <v>27.428571428571402</v>
      </c>
      <c r="M10" s="12"/>
      <c r="N10" s="12"/>
      <c r="O10" s="12"/>
      <c r="P10" s="12"/>
      <c r="Q10" s="12"/>
      <c r="R10" s="14"/>
      <c r="S10" s="14">
        <v>35</v>
      </c>
      <c r="T10" s="12"/>
      <c r="U10" s="12"/>
      <c r="V10" s="14"/>
      <c r="W10" s="14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ht="25.05" customHeight="1">
      <c r="B11" s="15"/>
      <c r="C11" s="16"/>
      <c r="D11" s="7"/>
      <c r="E11" s="20" t="s">
        <v>198</v>
      </c>
      <c r="F11" s="84" t="s">
        <v>44</v>
      </c>
      <c r="G11" s="10">
        <v>0.1111111111111111</v>
      </c>
      <c r="H11" s="10">
        <v>0.1875</v>
      </c>
      <c r="I11" s="11">
        <f t="shared" si="0"/>
        <v>7.6388888888888895E-2</v>
      </c>
      <c r="J11" s="12">
        <v>4</v>
      </c>
      <c r="K11" s="12">
        <v>288</v>
      </c>
      <c r="L11" s="13">
        <f t="shared" si="1"/>
        <v>39.272727272727273</v>
      </c>
      <c r="M11" s="12"/>
      <c r="N11" s="12"/>
      <c r="O11" s="12"/>
      <c r="P11" s="12"/>
      <c r="Q11" s="12"/>
      <c r="R11" s="14"/>
      <c r="S11" s="14"/>
      <c r="T11" s="12"/>
      <c r="U11" s="12"/>
      <c r="V11" s="14"/>
      <c r="W11" s="14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ht="25.05" customHeight="1">
      <c r="B12" s="15"/>
      <c r="C12" s="16"/>
      <c r="D12" s="7"/>
      <c r="E12" s="20" t="s">
        <v>460</v>
      </c>
      <c r="F12" s="83" t="s">
        <v>200</v>
      </c>
      <c r="G12" s="10">
        <v>0.19097222222222221</v>
      </c>
      <c r="H12" s="10">
        <v>0.22916666666666666</v>
      </c>
      <c r="I12" s="11">
        <f t="shared" si="0"/>
        <v>3.8194444444444448E-2</v>
      </c>
      <c r="J12" s="12">
        <v>8</v>
      </c>
      <c r="K12" s="12">
        <v>152</v>
      </c>
      <c r="L12" s="13">
        <f t="shared" si="1"/>
        <v>20.727272727272727</v>
      </c>
      <c r="M12" s="12"/>
      <c r="N12" s="12"/>
      <c r="O12" s="12"/>
      <c r="P12" s="12"/>
      <c r="Q12" s="12"/>
      <c r="R12" s="14"/>
      <c r="S12" s="14">
        <v>55</v>
      </c>
      <c r="T12" s="12"/>
      <c r="U12" s="12"/>
      <c r="V12" s="14"/>
      <c r="W12" s="14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ht="25.05" customHeight="1">
      <c r="B13" s="15"/>
      <c r="C13" s="16"/>
      <c r="D13" s="7"/>
      <c r="E13" s="20" t="s">
        <v>461</v>
      </c>
      <c r="F13" s="83" t="s">
        <v>186</v>
      </c>
      <c r="G13" s="10">
        <v>0.11458333333333333</v>
      </c>
      <c r="H13" s="10">
        <v>0.125</v>
      </c>
      <c r="I13" s="11">
        <f t="shared" si="0"/>
        <v>1.0416666666666671E-2</v>
      </c>
      <c r="J13" s="12">
        <v>1</v>
      </c>
      <c r="K13" s="12">
        <v>2.8</v>
      </c>
      <c r="L13" s="13">
        <f t="shared" si="1"/>
        <v>11.199999999999994</v>
      </c>
      <c r="M13" s="12">
        <v>15</v>
      </c>
      <c r="N13" s="12"/>
      <c r="O13" s="12"/>
      <c r="P13" s="12"/>
      <c r="Q13" s="12"/>
      <c r="R13" s="14"/>
      <c r="S13" s="14"/>
      <c r="T13" s="12"/>
      <c r="U13" s="12"/>
      <c r="V13" s="14"/>
      <c r="W13" s="14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ht="25.05" customHeight="1">
      <c r="B14" s="15"/>
      <c r="C14" s="16"/>
      <c r="D14" s="7"/>
      <c r="E14" s="20"/>
      <c r="F14" s="83"/>
      <c r="G14" s="10"/>
      <c r="H14" s="10"/>
      <c r="I14" s="11">
        <f t="shared" si="0"/>
        <v>0</v>
      </c>
      <c r="J14" s="12"/>
      <c r="K14" s="12"/>
      <c r="L14" s="13" t="str">
        <f t="shared" si="1"/>
        <v>0</v>
      </c>
      <c r="M14" s="12"/>
      <c r="N14" s="12"/>
      <c r="O14" s="12"/>
      <c r="P14" s="12"/>
      <c r="Q14" s="12"/>
      <c r="R14" s="14"/>
      <c r="S14" s="14"/>
      <c r="T14" s="12"/>
      <c r="U14" s="12"/>
      <c r="V14" s="14"/>
      <c r="W14" s="14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s="34" customFormat="1" ht="25.05" customHeight="1">
      <c r="A15" s="1"/>
      <c r="B15" s="27"/>
      <c r="C15" s="28"/>
      <c r="D15" s="29"/>
      <c r="E15" s="30"/>
      <c r="F15" s="30"/>
      <c r="G15" s="31"/>
      <c r="H15" s="31"/>
      <c r="I15" s="32"/>
      <c r="J15" s="18"/>
      <c r="K15" s="18">
        <f t="shared" ref="K15:AM15" si="2">SUM(K4:K12)</f>
        <v>1251.04</v>
      </c>
      <c r="L15" s="33">
        <f t="shared" si="2"/>
        <v>267.08022388059715</v>
      </c>
      <c r="M15" s="18">
        <f t="shared" si="2"/>
        <v>100</v>
      </c>
      <c r="N15" s="18">
        <f t="shared" si="2"/>
        <v>0</v>
      </c>
      <c r="O15" s="18">
        <f t="shared" si="2"/>
        <v>0</v>
      </c>
      <c r="P15" s="18">
        <f t="shared" si="2"/>
        <v>0</v>
      </c>
      <c r="Q15" s="18">
        <f t="shared" si="2"/>
        <v>0</v>
      </c>
      <c r="R15" s="18">
        <f t="shared" si="2"/>
        <v>0</v>
      </c>
      <c r="S15" s="18">
        <f t="shared" si="2"/>
        <v>358</v>
      </c>
      <c r="T15" s="18">
        <f t="shared" si="2"/>
        <v>0</v>
      </c>
      <c r="U15" s="18">
        <f t="shared" si="2"/>
        <v>0</v>
      </c>
      <c r="V15" s="18">
        <f t="shared" si="2"/>
        <v>0</v>
      </c>
      <c r="W15" s="18">
        <f t="shared" si="2"/>
        <v>0</v>
      </c>
      <c r="X15" s="18">
        <f t="shared" si="2"/>
        <v>0</v>
      </c>
      <c r="Y15" s="18">
        <f t="shared" si="2"/>
        <v>0</v>
      </c>
      <c r="Z15" s="18">
        <f t="shared" si="2"/>
        <v>0</v>
      </c>
      <c r="AA15" s="18">
        <f t="shared" si="2"/>
        <v>0</v>
      </c>
      <c r="AB15" s="18">
        <f t="shared" si="2"/>
        <v>0</v>
      </c>
      <c r="AC15" s="18">
        <f t="shared" si="2"/>
        <v>0</v>
      </c>
      <c r="AD15" s="18">
        <f t="shared" si="2"/>
        <v>0</v>
      </c>
      <c r="AE15" s="18">
        <f t="shared" si="2"/>
        <v>0</v>
      </c>
      <c r="AF15" s="18">
        <f t="shared" si="2"/>
        <v>0</v>
      </c>
      <c r="AG15" s="18">
        <f t="shared" si="2"/>
        <v>0</v>
      </c>
      <c r="AH15" s="18">
        <f t="shared" si="2"/>
        <v>0</v>
      </c>
      <c r="AI15" s="18">
        <f t="shared" si="2"/>
        <v>0</v>
      </c>
      <c r="AJ15" s="18">
        <f t="shared" si="2"/>
        <v>0</v>
      </c>
      <c r="AK15" s="18">
        <f t="shared" si="2"/>
        <v>0</v>
      </c>
      <c r="AL15" s="18">
        <f t="shared" si="2"/>
        <v>0</v>
      </c>
      <c r="AM15" s="18">
        <f t="shared" si="2"/>
        <v>0</v>
      </c>
    </row>
    <row r="16" spans="1:39" ht="25.05" customHeight="1">
      <c r="B16" s="15"/>
      <c r="C16" s="16" t="s">
        <v>71</v>
      </c>
      <c r="D16" s="7"/>
      <c r="E16" s="8" t="s">
        <v>43</v>
      </c>
      <c r="F16" s="9" t="s">
        <v>44</v>
      </c>
      <c r="G16" s="10"/>
      <c r="H16" s="10"/>
      <c r="I16" s="11">
        <f>H16-G16</f>
        <v>0</v>
      </c>
      <c r="J16" s="12"/>
      <c r="K16" s="12"/>
      <c r="L16" s="13" t="str">
        <f>IFERROR(((K16/(J16*I16)/24)),"0")</f>
        <v>0</v>
      </c>
      <c r="M16" s="12"/>
      <c r="N16" s="12"/>
      <c r="O16" s="12"/>
      <c r="P16" s="12"/>
      <c r="Q16" s="12"/>
      <c r="R16" s="14"/>
      <c r="S16" s="14"/>
      <c r="T16" s="12"/>
      <c r="U16" s="12"/>
      <c r="V16" s="14"/>
      <c r="W16" s="14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 ht="25.05" customHeight="1">
      <c r="B17" s="15"/>
      <c r="C17" s="16"/>
      <c r="D17" s="90"/>
      <c r="E17" s="7"/>
      <c r="F17" s="16"/>
      <c r="G17" s="10"/>
      <c r="H17" s="10"/>
      <c r="I17" s="11"/>
      <c r="J17" s="12"/>
      <c r="K17" s="12"/>
      <c r="L17" s="13"/>
      <c r="M17" s="12"/>
      <c r="N17" s="12"/>
      <c r="O17" s="12"/>
      <c r="P17" s="12"/>
      <c r="Q17" s="12"/>
      <c r="R17" s="14"/>
      <c r="S17" s="14"/>
      <c r="T17" s="12"/>
      <c r="U17" s="12"/>
      <c r="V17" s="14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s="34" customFormat="1" ht="25.05" customHeight="1">
      <c r="A18" s="1"/>
      <c r="B18" s="27"/>
      <c r="C18" s="28"/>
      <c r="D18" s="29"/>
      <c r="E18" s="30"/>
      <c r="F18" s="28"/>
      <c r="G18" s="31"/>
      <c r="H18" s="31"/>
      <c r="I18" s="32"/>
      <c r="J18" s="18"/>
      <c r="K18" s="18">
        <f t="shared" ref="K18:AM18" si="3">SUM(K16:K17)</f>
        <v>0</v>
      </c>
      <c r="L18" s="18">
        <f t="shared" si="3"/>
        <v>0</v>
      </c>
      <c r="M18" s="18">
        <f t="shared" si="3"/>
        <v>0</v>
      </c>
      <c r="N18" s="18">
        <f t="shared" si="3"/>
        <v>0</v>
      </c>
      <c r="O18" s="18">
        <f t="shared" si="3"/>
        <v>0</v>
      </c>
      <c r="P18" s="18">
        <f t="shared" si="3"/>
        <v>0</v>
      </c>
      <c r="Q18" s="18">
        <f t="shared" si="3"/>
        <v>0</v>
      </c>
      <c r="R18" s="18">
        <f t="shared" si="3"/>
        <v>0</v>
      </c>
      <c r="S18" s="18">
        <f t="shared" si="3"/>
        <v>0</v>
      </c>
      <c r="T18" s="18">
        <f t="shared" si="3"/>
        <v>0</v>
      </c>
      <c r="U18" s="18">
        <f t="shared" si="3"/>
        <v>0</v>
      </c>
      <c r="V18" s="18">
        <f t="shared" si="3"/>
        <v>0</v>
      </c>
      <c r="W18" s="18">
        <f t="shared" si="3"/>
        <v>0</v>
      </c>
      <c r="X18" s="18">
        <f t="shared" si="3"/>
        <v>0</v>
      </c>
      <c r="Y18" s="18">
        <f t="shared" si="3"/>
        <v>0</v>
      </c>
      <c r="Z18" s="18">
        <f t="shared" si="3"/>
        <v>0</v>
      </c>
      <c r="AA18" s="18">
        <f t="shared" si="3"/>
        <v>0</v>
      </c>
      <c r="AB18" s="18">
        <f t="shared" si="3"/>
        <v>0</v>
      </c>
      <c r="AC18" s="18">
        <f t="shared" si="3"/>
        <v>0</v>
      </c>
      <c r="AD18" s="18">
        <f t="shared" si="3"/>
        <v>0</v>
      </c>
      <c r="AE18" s="18">
        <f t="shared" si="3"/>
        <v>0</v>
      </c>
      <c r="AF18" s="18">
        <f t="shared" si="3"/>
        <v>0</v>
      </c>
      <c r="AG18" s="18">
        <f t="shared" si="3"/>
        <v>0</v>
      </c>
      <c r="AH18" s="18">
        <f t="shared" si="3"/>
        <v>0</v>
      </c>
      <c r="AI18" s="18">
        <f t="shared" si="3"/>
        <v>0</v>
      </c>
      <c r="AJ18" s="18">
        <f t="shared" si="3"/>
        <v>0</v>
      </c>
      <c r="AK18" s="18">
        <f t="shared" si="3"/>
        <v>0</v>
      </c>
      <c r="AL18" s="18">
        <f t="shared" si="3"/>
        <v>0</v>
      </c>
      <c r="AM18" s="18">
        <f t="shared" si="3"/>
        <v>0</v>
      </c>
    </row>
    <row r="19" spans="1:39" ht="25.05" customHeight="1">
      <c r="B19" s="15">
        <v>46108</v>
      </c>
      <c r="C19" s="35" t="s">
        <v>76</v>
      </c>
      <c r="D19" s="80" t="s">
        <v>174</v>
      </c>
      <c r="E19" s="8" t="s">
        <v>43</v>
      </c>
      <c r="F19" s="9" t="s">
        <v>44</v>
      </c>
      <c r="G19" s="10">
        <v>0.79166666666666663</v>
      </c>
      <c r="H19" s="10">
        <v>0.83333333333333337</v>
      </c>
      <c r="I19" s="11">
        <f t="shared" ref="I19:I51" si="4">H19-G19</f>
        <v>4.1666666666666741E-2</v>
      </c>
      <c r="J19" s="12">
        <v>4</v>
      </c>
      <c r="K19" s="81" t="s">
        <v>44</v>
      </c>
      <c r="L19" s="82" t="s">
        <v>44</v>
      </c>
      <c r="M19" s="12"/>
      <c r="N19" s="12"/>
      <c r="O19" s="12"/>
      <c r="P19" s="12"/>
      <c r="Q19" s="12"/>
      <c r="R19" s="14"/>
      <c r="S19" s="14"/>
      <c r="T19" s="12"/>
      <c r="U19" s="12"/>
      <c r="V19" s="14"/>
      <c r="W19" s="14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6"/>
    </row>
    <row r="20" spans="1:39" ht="25.05" customHeight="1">
      <c r="B20" s="15"/>
      <c r="C20" s="35"/>
      <c r="D20" s="23" t="s">
        <v>120</v>
      </c>
      <c r="E20" s="19" t="s">
        <v>462</v>
      </c>
      <c r="F20" s="9" t="s">
        <v>44</v>
      </c>
      <c r="G20" s="10">
        <v>0.94097222222222221</v>
      </c>
      <c r="H20" s="10">
        <v>0.96388888888888891</v>
      </c>
      <c r="I20" s="11">
        <f t="shared" si="4"/>
        <v>2.2916666666666696E-2</v>
      </c>
      <c r="J20" s="12">
        <v>4</v>
      </c>
      <c r="K20" s="12">
        <v>63.44</v>
      </c>
      <c r="L20" s="13">
        <f t="shared" ref="L20:L52" si="5">IFERROR(((K20/(J20*I20)/24)),"0")</f>
        <v>28.836363636363597</v>
      </c>
      <c r="M20" s="12"/>
      <c r="N20" s="12"/>
      <c r="O20" s="12"/>
      <c r="P20" s="12"/>
      <c r="Q20" s="12"/>
      <c r="R20" s="14"/>
      <c r="S20" s="14"/>
      <c r="T20" s="12"/>
      <c r="U20" s="12"/>
      <c r="V20" s="14">
        <v>2</v>
      </c>
      <c r="W20" s="14"/>
      <c r="X20" s="12"/>
      <c r="Y20" s="12"/>
      <c r="Z20" s="12"/>
      <c r="AA20" s="12"/>
      <c r="AB20" s="12"/>
      <c r="AC20" s="12"/>
      <c r="AD20" s="12">
        <v>33</v>
      </c>
      <c r="AE20" s="12"/>
      <c r="AF20" s="12"/>
      <c r="AG20" s="12"/>
      <c r="AH20" s="12"/>
      <c r="AI20" s="12"/>
      <c r="AJ20" s="12"/>
      <c r="AK20" s="12"/>
      <c r="AL20" s="12"/>
      <c r="AM20" s="16"/>
    </row>
    <row r="21" spans="1:39" ht="25.05" customHeight="1">
      <c r="B21" s="15"/>
      <c r="C21" s="35"/>
      <c r="D21" s="93" t="s">
        <v>463</v>
      </c>
      <c r="E21" s="19" t="s">
        <v>462</v>
      </c>
      <c r="F21" s="9" t="s">
        <v>44</v>
      </c>
      <c r="G21" s="10">
        <v>0.94305555555555554</v>
      </c>
      <c r="H21" s="10">
        <v>0.96527777777777779</v>
      </c>
      <c r="I21" s="11">
        <f t="shared" si="4"/>
        <v>2.2222222222222254E-2</v>
      </c>
      <c r="J21" s="12">
        <v>4</v>
      </c>
      <c r="K21" s="12">
        <v>63.44</v>
      </c>
      <c r="L21" s="13">
        <f t="shared" si="5"/>
        <v>29.737499999999955</v>
      </c>
      <c r="M21" s="12"/>
      <c r="N21" s="12"/>
      <c r="O21" s="12"/>
      <c r="P21" s="12"/>
      <c r="Q21" s="12"/>
      <c r="R21" s="14"/>
      <c r="S21" s="14"/>
      <c r="T21" s="12"/>
      <c r="U21" s="12"/>
      <c r="V21" s="14">
        <v>2</v>
      </c>
      <c r="W21" s="14"/>
      <c r="X21" s="12"/>
      <c r="Y21" s="12"/>
      <c r="Z21" s="12"/>
      <c r="AA21" s="12"/>
      <c r="AB21" s="12"/>
      <c r="AC21" s="12"/>
      <c r="AD21" s="12"/>
      <c r="AE21" s="12">
        <v>32</v>
      </c>
      <c r="AF21" s="12"/>
      <c r="AG21" s="12"/>
      <c r="AH21" s="12"/>
      <c r="AI21" s="12"/>
      <c r="AJ21" s="12"/>
      <c r="AK21" s="12"/>
      <c r="AL21" s="12"/>
      <c r="AM21" s="16"/>
    </row>
    <row r="22" spans="1:39" ht="25.05" customHeight="1">
      <c r="B22" s="15"/>
      <c r="C22" s="35"/>
      <c r="D22" s="23"/>
      <c r="E22" s="19" t="s">
        <v>217</v>
      </c>
      <c r="F22" s="9" t="s">
        <v>44</v>
      </c>
      <c r="G22" s="10">
        <v>8.3333333333333329E-2</v>
      </c>
      <c r="H22" s="10">
        <v>0.11458333333333333</v>
      </c>
      <c r="I22" s="11">
        <f t="shared" si="4"/>
        <v>3.125E-2</v>
      </c>
      <c r="J22" s="12">
        <v>4</v>
      </c>
      <c r="K22" s="12">
        <v>88.75</v>
      </c>
      <c r="L22" s="13">
        <f t="shared" si="5"/>
        <v>29.583333333333332</v>
      </c>
      <c r="M22" s="12"/>
      <c r="N22" s="12"/>
      <c r="O22" s="12"/>
      <c r="P22" s="12"/>
      <c r="Q22" s="12"/>
      <c r="R22" s="14"/>
      <c r="S22" s="14"/>
      <c r="T22" s="12"/>
      <c r="U22" s="12"/>
      <c r="V22" s="14">
        <v>2</v>
      </c>
      <c r="W22" s="14"/>
      <c r="X22" s="12"/>
      <c r="Y22" s="12"/>
      <c r="Z22" s="12"/>
      <c r="AA22" s="12"/>
      <c r="AB22" s="12"/>
      <c r="AC22" s="12"/>
      <c r="AD22" s="12">
        <v>45</v>
      </c>
      <c r="AE22" s="12"/>
      <c r="AF22" s="12"/>
      <c r="AG22" s="12"/>
      <c r="AH22" s="12"/>
      <c r="AI22" s="12"/>
      <c r="AJ22" s="12"/>
      <c r="AK22" s="12"/>
      <c r="AL22" s="12"/>
      <c r="AM22" s="16"/>
    </row>
    <row r="23" spans="1:39" ht="25.05" customHeight="1">
      <c r="B23" s="15"/>
      <c r="C23" s="35"/>
      <c r="D23" s="23"/>
      <c r="E23" s="19" t="s">
        <v>218</v>
      </c>
      <c r="F23" s="9" t="s">
        <v>44</v>
      </c>
      <c r="G23" s="10">
        <v>0.11944444444444445</v>
      </c>
      <c r="H23" s="10">
        <v>0.14305555555555555</v>
      </c>
      <c r="I23" s="11">
        <f t="shared" si="4"/>
        <v>2.3611111111111097E-2</v>
      </c>
      <c r="J23" s="12">
        <v>4</v>
      </c>
      <c r="K23" s="12">
        <v>83.48</v>
      </c>
      <c r="L23" s="13">
        <f t="shared" si="5"/>
        <v>36.829411764705902</v>
      </c>
      <c r="M23" s="12"/>
      <c r="N23" s="12"/>
      <c r="O23" s="12"/>
      <c r="P23" s="12"/>
      <c r="Q23" s="12"/>
      <c r="R23" s="14"/>
      <c r="S23" s="14"/>
      <c r="T23" s="12"/>
      <c r="U23" s="12"/>
      <c r="V23" s="14">
        <v>2</v>
      </c>
      <c r="W23" s="14"/>
      <c r="X23" s="12"/>
      <c r="Y23" s="12"/>
      <c r="Z23" s="12"/>
      <c r="AA23" s="12"/>
      <c r="AB23" s="12"/>
      <c r="AC23" s="12"/>
      <c r="AD23" s="12"/>
      <c r="AE23" s="12">
        <v>34</v>
      </c>
      <c r="AF23" s="12"/>
      <c r="AG23" s="12"/>
      <c r="AH23" s="12"/>
      <c r="AI23" s="12"/>
      <c r="AJ23" s="12"/>
      <c r="AK23" s="12"/>
      <c r="AL23" s="12"/>
      <c r="AM23" s="16"/>
    </row>
    <row r="24" spans="1:39" ht="25.05" customHeight="1">
      <c r="B24" s="15"/>
      <c r="C24" s="35"/>
      <c r="D24" s="23"/>
      <c r="E24" s="19" t="s">
        <v>319</v>
      </c>
      <c r="F24" s="9" t="s">
        <v>44</v>
      </c>
      <c r="G24" s="10">
        <v>0.16041666666666668</v>
      </c>
      <c r="H24" s="10">
        <v>0.18611111111111112</v>
      </c>
      <c r="I24" s="11">
        <f t="shared" si="4"/>
        <v>2.5694444444444436E-2</v>
      </c>
      <c r="J24" s="12">
        <v>4</v>
      </c>
      <c r="K24" s="12">
        <v>88.6</v>
      </c>
      <c r="L24" s="13">
        <f t="shared" si="5"/>
        <v>35.918918918918926</v>
      </c>
      <c r="M24" s="12"/>
      <c r="N24" s="12"/>
      <c r="O24" s="12"/>
      <c r="P24" s="12"/>
      <c r="Q24" s="12"/>
      <c r="R24" s="14"/>
      <c r="S24" s="14"/>
      <c r="T24" s="12"/>
      <c r="U24" s="12"/>
      <c r="V24" s="14">
        <v>2</v>
      </c>
      <c r="W24" s="14"/>
      <c r="X24" s="12"/>
      <c r="Y24" s="12"/>
      <c r="Z24" s="12"/>
      <c r="AA24" s="12"/>
      <c r="AB24" s="12"/>
      <c r="AC24" s="12"/>
      <c r="AD24" s="12">
        <v>37</v>
      </c>
      <c r="AE24" s="12"/>
      <c r="AF24" s="12"/>
      <c r="AG24" s="12"/>
      <c r="AH24" s="12"/>
      <c r="AI24" s="12"/>
      <c r="AJ24" s="12"/>
      <c r="AK24" s="12"/>
      <c r="AL24" s="12"/>
      <c r="AM24" s="16"/>
    </row>
    <row r="25" spans="1:39" ht="25.05" customHeight="1">
      <c r="B25" s="15"/>
      <c r="C25" s="35"/>
      <c r="D25" s="23"/>
      <c r="E25" s="19" t="s">
        <v>320</v>
      </c>
      <c r="F25" s="9" t="s">
        <v>44</v>
      </c>
      <c r="G25" s="10">
        <v>0.19652777777777777</v>
      </c>
      <c r="H25" s="10">
        <v>0.22222222222222221</v>
      </c>
      <c r="I25" s="11">
        <f t="shared" si="4"/>
        <v>2.5694444444444436E-2</v>
      </c>
      <c r="J25" s="12">
        <v>4</v>
      </c>
      <c r="K25" s="12">
        <v>83.45</v>
      </c>
      <c r="L25" s="13">
        <f t="shared" si="5"/>
        <v>33.831081081081095</v>
      </c>
      <c r="M25" s="12"/>
      <c r="N25" s="12"/>
      <c r="O25" s="12"/>
      <c r="P25" s="12"/>
      <c r="Q25" s="12"/>
      <c r="R25" s="14"/>
      <c r="S25" s="14"/>
      <c r="T25" s="12"/>
      <c r="U25" s="12"/>
      <c r="V25" s="14">
        <v>2</v>
      </c>
      <c r="W25" s="14"/>
      <c r="X25" s="12"/>
      <c r="Y25" s="12"/>
      <c r="Z25" s="12"/>
      <c r="AA25" s="12"/>
      <c r="AB25" s="12"/>
      <c r="AC25" s="12"/>
      <c r="AD25" s="12"/>
      <c r="AE25" s="12">
        <v>37</v>
      </c>
      <c r="AF25" s="12"/>
      <c r="AG25" s="12"/>
      <c r="AH25" s="12"/>
      <c r="AI25" s="12"/>
      <c r="AJ25" s="12"/>
      <c r="AK25" s="12"/>
      <c r="AL25" s="12"/>
      <c r="AM25" s="16"/>
    </row>
    <row r="26" spans="1:39" ht="25.05" customHeight="1">
      <c r="B26" s="15"/>
      <c r="C26" s="35"/>
      <c r="D26" s="23"/>
      <c r="E26" s="19"/>
      <c r="F26" s="9" t="s">
        <v>44</v>
      </c>
      <c r="G26" s="10"/>
      <c r="H26" s="10"/>
      <c r="I26" s="11">
        <f t="shared" si="4"/>
        <v>0</v>
      </c>
      <c r="J26" s="12"/>
      <c r="K26" s="12"/>
      <c r="L26" s="13" t="str">
        <f t="shared" si="5"/>
        <v>0</v>
      </c>
      <c r="M26" s="12"/>
      <c r="N26" s="12"/>
      <c r="O26" s="12"/>
      <c r="P26" s="12"/>
      <c r="Q26" s="12"/>
      <c r="R26" s="14"/>
      <c r="S26" s="14"/>
      <c r="T26" s="12"/>
      <c r="U26" s="12"/>
      <c r="V26" s="14"/>
      <c r="W26" s="14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6"/>
    </row>
    <row r="27" spans="1:39" ht="25.05" customHeight="1">
      <c r="B27" s="15"/>
      <c r="C27" s="35"/>
      <c r="D27" s="23" t="s">
        <v>464</v>
      </c>
      <c r="E27" s="19" t="s">
        <v>465</v>
      </c>
      <c r="F27" s="9" t="s">
        <v>44</v>
      </c>
      <c r="G27" s="10">
        <v>0.95625000000000004</v>
      </c>
      <c r="H27" s="10">
        <v>0.97222222222222221</v>
      </c>
      <c r="I27" s="11">
        <f t="shared" si="4"/>
        <v>1.5972222222222165E-2</v>
      </c>
      <c r="J27" s="12">
        <v>7</v>
      </c>
      <c r="K27" s="12">
        <v>82.12</v>
      </c>
      <c r="L27" s="13">
        <f t="shared" si="5"/>
        <v>30.603726708074646</v>
      </c>
      <c r="M27" s="12"/>
      <c r="N27" s="12"/>
      <c r="O27" s="12"/>
      <c r="P27" s="12"/>
      <c r="Q27" s="12"/>
      <c r="R27" s="14"/>
      <c r="S27" s="14"/>
      <c r="T27" s="12"/>
      <c r="U27" s="12"/>
      <c r="V27" s="14"/>
      <c r="W27" s="14">
        <v>2</v>
      </c>
      <c r="X27" s="12">
        <v>7.6</v>
      </c>
      <c r="Y27" s="12">
        <v>7.6</v>
      </c>
      <c r="Z27" s="12">
        <v>7.6</v>
      </c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6"/>
    </row>
    <row r="28" spans="1:39" ht="25.05" customHeight="1">
      <c r="B28" s="15"/>
      <c r="C28" s="35"/>
      <c r="D28" s="23"/>
      <c r="E28" s="19" t="s">
        <v>466</v>
      </c>
      <c r="F28" s="9" t="s">
        <v>44</v>
      </c>
      <c r="G28" s="10">
        <v>0.96736111111111112</v>
      </c>
      <c r="H28" s="10">
        <v>0.98124999999999996</v>
      </c>
      <c r="I28" s="11">
        <f t="shared" si="4"/>
        <v>1.388888888888884E-2</v>
      </c>
      <c r="J28" s="12">
        <v>7</v>
      </c>
      <c r="K28" s="12">
        <v>84.29</v>
      </c>
      <c r="L28" s="13">
        <f t="shared" si="5"/>
        <v>36.124285714285847</v>
      </c>
      <c r="M28" s="12"/>
      <c r="N28" s="12"/>
      <c r="O28" s="12"/>
      <c r="P28" s="12"/>
      <c r="Q28" s="12"/>
      <c r="R28" s="14"/>
      <c r="S28" s="14"/>
      <c r="T28" s="12"/>
      <c r="U28" s="12"/>
      <c r="V28" s="14"/>
      <c r="W28" s="14">
        <v>2</v>
      </c>
      <c r="X28" s="12">
        <v>10</v>
      </c>
      <c r="Y28" s="12">
        <v>10</v>
      </c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6"/>
    </row>
    <row r="29" spans="1:39" ht="25.05" customHeight="1">
      <c r="B29" s="15"/>
      <c r="C29" s="35"/>
      <c r="D29" s="23"/>
      <c r="E29" s="19" t="s">
        <v>467</v>
      </c>
      <c r="F29" s="9" t="s">
        <v>44</v>
      </c>
      <c r="G29" s="10">
        <v>0.97430555555555554</v>
      </c>
      <c r="H29" s="10">
        <v>0.98888888888888893</v>
      </c>
      <c r="I29" s="11">
        <f t="shared" si="4"/>
        <v>1.4583333333333393E-2</v>
      </c>
      <c r="J29" s="12">
        <v>7</v>
      </c>
      <c r="K29" s="12">
        <v>85.07</v>
      </c>
      <c r="L29" s="13">
        <f t="shared" si="5"/>
        <v>34.722448979591697</v>
      </c>
      <c r="M29" s="12"/>
      <c r="N29" s="12"/>
      <c r="O29" s="12"/>
      <c r="P29" s="12"/>
      <c r="Q29" s="12"/>
      <c r="R29" s="14"/>
      <c r="S29" s="14"/>
      <c r="T29" s="12"/>
      <c r="U29" s="12"/>
      <c r="V29" s="14"/>
      <c r="W29" s="14">
        <v>2</v>
      </c>
      <c r="X29" s="12">
        <v>10.5</v>
      </c>
      <c r="Y29" s="12"/>
      <c r="Z29" s="12">
        <v>10.5</v>
      </c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6"/>
    </row>
    <row r="30" spans="1:39" ht="25.05" customHeight="1">
      <c r="B30" s="15"/>
      <c r="C30" s="35"/>
      <c r="D30" s="23"/>
      <c r="E30" s="19" t="s">
        <v>468</v>
      </c>
      <c r="F30" s="9" t="s">
        <v>44</v>
      </c>
      <c r="G30" s="10">
        <v>0.9819444444444444</v>
      </c>
      <c r="H30" s="10">
        <v>0.99583333333333335</v>
      </c>
      <c r="I30" s="11">
        <f t="shared" si="4"/>
        <v>1.3888888888888951E-2</v>
      </c>
      <c r="J30" s="12">
        <v>7</v>
      </c>
      <c r="K30" s="12">
        <v>85.82</v>
      </c>
      <c r="L30" s="13">
        <f t="shared" si="5"/>
        <v>36.779999999999838</v>
      </c>
      <c r="M30" s="12"/>
      <c r="N30" s="12"/>
      <c r="O30" s="12"/>
      <c r="P30" s="12"/>
      <c r="Q30" s="12"/>
      <c r="R30" s="14"/>
      <c r="S30" s="14"/>
      <c r="T30" s="12"/>
      <c r="U30" s="12"/>
      <c r="V30" s="14"/>
      <c r="W30" s="14">
        <v>2</v>
      </c>
      <c r="X30" s="12"/>
      <c r="Y30" s="12">
        <v>10</v>
      </c>
      <c r="Z30" s="12">
        <v>10</v>
      </c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6"/>
    </row>
    <row r="31" spans="1:39" ht="25.05" customHeight="1">
      <c r="B31" s="15"/>
      <c r="C31" s="35"/>
      <c r="D31" s="23"/>
      <c r="E31" s="19" t="s">
        <v>469</v>
      </c>
      <c r="F31" s="9" t="s">
        <v>44</v>
      </c>
      <c r="G31" s="10">
        <v>46107.989583333336</v>
      </c>
      <c r="H31" s="10">
        <v>46108.003472222219</v>
      </c>
      <c r="I31" s="11">
        <f t="shared" si="4"/>
        <v>1.3888888883229811E-2</v>
      </c>
      <c r="J31" s="12">
        <v>7</v>
      </c>
      <c r="K31" s="12">
        <v>85.18</v>
      </c>
      <c r="L31" s="13">
        <f t="shared" si="5"/>
        <v>36.505714300588672</v>
      </c>
      <c r="M31" s="12"/>
      <c r="N31" s="12"/>
      <c r="O31" s="12"/>
      <c r="P31" s="12"/>
      <c r="Q31" s="12"/>
      <c r="R31" s="14"/>
      <c r="S31" s="14"/>
      <c r="T31" s="12"/>
      <c r="U31" s="12"/>
      <c r="V31" s="14"/>
      <c r="W31" s="14">
        <v>2</v>
      </c>
      <c r="X31" s="12">
        <v>10</v>
      </c>
      <c r="Y31" s="12">
        <v>10</v>
      </c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6"/>
    </row>
    <row r="32" spans="1:39" ht="25.05" customHeight="1">
      <c r="B32" s="15"/>
      <c r="C32" s="35"/>
      <c r="D32" s="23"/>
      <c r="E32" s="19" t="s">
        <v>470</v>
      </c>
      <c r="F32" s="9" t="s">
        <v>44</v>
      </c>
      <c r="G32" s="10">
        <v>46107.996527777781</v>
      </c>
      <c r="H32" s="10">
        <v>46108.010416666664</v>
      </c>
      <c r="I32" s="11">
        <f t="shared" si="4"/>
        <v>1.3888888883229811E-2</v>
      </c>
      <c r="J32" s="12">
        <v>7</v>
      </c>
      <c r="K32" s="12">
        <v>85.31</v>
      </c>
      <c r="L32" s="13">
        <f t="shared" si="5"/>
        <v>36.561428586325661</v>
      </c>
      <c r="M32" s="12"/>
      <c r="N32" s="12"/>
      <c r="O32" s="12"/>
      <c r="P32" s="12"/>
      <c r="Q32" s="12"/>
      <c r="R32" s="14"/>
      <c r="S32" s="14"/>
      <c r="T32" s="12"/>
      <c r="U32" s="12"/>
      <c r="V32" s="14"/>
      <c r="W32" s="14">
        <v>2</v>
      </c>
      <c r="X32" s="12">
        <v>10</v>
      </c>
      <c r="Y32" s="12"/>
      <c r="Z32" s="12">
        <v>10</v>
      </c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6"/>
    </row>
    <row r="33" spans="2:39" ht="25.05" customHeight="1">
      <c r="B33" s="15"/>
      <c r="C33" s="35"/>
      <c r="D33" s="23"/>
      <c r="E33" s="19" t="s">
        <v>471</v>
      </c>
      <c r="F33" s="9" t="s">
        <v>44</v>
      </c>
      <c r="G33" s="10">
        <v>7.8472222222222221E-2</v>
      </c>
      <c r="H33" s="10">
        <v>8.8888888888888892E-2</v>
      </c>
      <c r="I33" s="11">
        <f t="shared" si="4"/>
        <v>1.0416666666666671E-2</v>
      </c>
      <c r="J33" s="12">
        <v>7</v>
      </c>
      <c r="K33" s="12">
        <v>85.9</v>
      </c>
      <c r="L33" s="13">
        <f t="shared" si="5"/>
        <v>49.085714285714268</v>
      </c>
      <c r="M33" s="12"/>
      <c r="N33" s="12"/>
      <c r="O33" s="12"/>
      <c r="P33" s="12"/>
      <c r="Q33" s="12"/>
      <c r="R33" s="14"/>
      <c r="S33" s="14"/>
      <c r="T33" s="12"/>
      <c r="U33" s="12"/>
      <c r="V33" s="14"/>
      <c r="W33" s="14">
        <v>2</v>
      </c>
      <c r="X33" s="12">
        <v>7.5</v>
      </c>
      <c r="Y33" s="12">
        <v>7.5</v>
      </c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6"/>
    </row>
    <row r="34" spans="2:39" ht="25.05" customHeight="1">
      <c r="B34" s="15"/>
      <c r="C34" s="35"/>
      <c r="D34" s="23"/>
      <c r="E34" s="19" t="s">
        <v>472</v>
      </c>
      <c r="F34" s="9" t="s">
        <v>44</v>
      </c>
      <c r="G34" s="10">
        <v>8.1944444444444445E-2</v>
      </c>
      <c r="H34" s="10">
        <v>9.375E-2</v>
      </c>
      <c r="I34" s="11">
        <f t="shared" si="4"/>
        <v>1.1805555555555555E-2</v>
      </c>
      <c r="J34" s="12">
        <v>7</v>
      </c>
      <c r="K34" s="12">
        <v>85.05</v>
      </c>
      <c r="L34" s="13">
        <f t="shared" si="5"/>
        <v>42.882352941176471</v>
      </c>
      <c r="M34" s="12"/>
      <c r="N34" s="12"/>
      <c r="O34" s="12"/>
      <c r="P34" s="12"/>
      <c r="Q34" s="12"/>
      <c r="R34" s="14"/>
      <c r="S34" s="14"/>
      <c r="T34" s="12"/>
      <c r="U34" s="12"/>
      <c r="V34" s="14"/>
      <c r="W34" s="14">
        <v>2</v>
      </c>
      <c r="X34" s="12"/>
      <c r="Y34" s="12"/>
      <c r="Z34" s="12">
        <v>8.5</v>
      </c>
      <c r="AA34" s="12">
        <v>8.5</v>
      </c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6"/>
    </row>
    <row r="35" spans="2:39" ht="25.05" customHeight="1">
      <c r="B35" s="15"/>
      <c r="C35" s="35"/>
      <c r="D35" s="23"/>
      <c r="E35" s="19" t="s">
        <v>473</v>
      </c>
      <c r="F35" s="9" t="s">
        <v>44</v>
      </c>
      <c r="G35" s="10">
        <v>0.85416666666666663</v>
      </c>
      <c r="H35" s="10">
        <v>0.85972222222222228</v>
      </c>
      <c r="I35" s="11">
        <f t="shared" si="4"/>
        <v>5.5555555555556468E-3</v>
      </c>
      <c r="J35" s="12">
        <v>3</v>
      </c>
      <c r="K35" s="12">
        <v>25.14</v>
      </c>
      <c r="L35" s="13">
        <f t="shared" si="5"/>
        <v>62.849999999998971</v>
      </c>
      <c r="M35" s="12"/>
      <c r="N35" s="12"/>
      <c r="O35" s="12"/>
      <c r="P35" s="12"/>
      <c r="Q35" s="12"/>
      <c r="R35" s="14"/>
      <c r="S35" s="14"/>
      <c r="T35" s="12"/>
      <c r="U35" s="12"/>
      <c r="V35" s="14">
        <v>8</v>
      </c>
      <c r="W35" s="14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6"/>
    </row>
    <row r="36" spans="2:39" ht="25.05" customHeight="1">
      <c r="B36" s="15"/>
      <c r="C36" s="35"/>
      <c r="D36" s="23"/>
      <c r="E36" s="19"/>
      <c r="F36" s="9" t="s">
        <v>44</v>
      </c>
      <c r="G36" s="10"/>
      <c r="H36" s="10"/>
      <c r="I36" s="11">
        <f t="shared" si="4"/>
        <v>0</v>
      </c>
      <c r="J36" s="12"/>
      <c r="K36" s="12"/>
      <c r="L36" s="13" t="str">
        <f t="shared" si="5"/>
        <v>0</v>
      </c>
      <c r="M36" s="12"/>
      <c r="N36" s="12"/>
      <c r="O36" s="12"/>
      <c r="P36" s="12"/>
      <c r="Q36" s="12"/>
      <c r="R36" s="14"/>
      <c r="S36" s="14"/>
      <c r="T36" s="12"/>
      <c r="U36" s="12"/>
      <c r="V36" s="14"/>
      <c r="W36" s="14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6"/>
    </row>
    <row r="37" spans="2:39" ht="25.05" customHeight="1">
      <c r="B37" s="15"/>
      <c r="C37" s="35"/>
      <c r="D37" s="23" t="s">
        <v>474</v>
      </c>
      <c r="E37" s="19" t="s">
        <v>475</v>
      </c>
      <c r="F37" s="9" t="s">
        <v>44</v>
      </c>
      <c r="G37" s="10">
        <v>0.89166666666666672</v>
      </c>
      <c r="H37" s="10">
        <v>0.90486111111111112</v>
      </c>
      <c r="I37" s="11">
        <f t="shared" si="4"/>
        <v>1.3194444444444398E-2</v>
      </c>
      <c r="J37" s="12">
        <v>6</v>
      </c>
      <c r="K37" s="12">
        <v>59.26</v>
      </c>
      <c r="L37" s="13">
        <f t="shared" si="5"/>
        <v>31.189473684210636</v>
      </c>
      <c r="M37" s="12"/>
      <c r="N37" s="12"/>
      <c r="O37" s="12"/>
      <c r="P37" s="12"/>
      <c r="Q37" s="12"/>
      <c r="R37" s="14"/>
      <c r="S37" s="14"/>
      <c r="T37" s="12"/>
      <c r="U37" s="12"/>
      <c r="V37" s="14">
        <v>2</v>
      </c>
      <c r="W37" s="14"/>
      <c r="X37" s="12">
        <v>9.5</v>
      </c>
      <c r="Y37" s="12">
        <v>9.5</v>
      </c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6"/>
    </row>
    <row r="38" spans="2:39" ht="25.05" customHeight="1">
      <c r="B38" s="15"/>
      <c r="C38" s="35"/>
      <c r="D38" s="23"/>
      <c r="E38" s="19" t="s">
        <v>476</v>
      </c>
      <c r="F38" s="9" t="s">
        <v>44</v>
      </c>
      <c r="G38" s="10">
        <v>0.90069444444444446</v>
      </c>
      <c r="H38" s="10">
        <v>0.91388888888888886</v>
      </c>
      <c r="I38" s="11">
        <f t="shared" si="4"/>
        <v>1.3194444444444398E-2</v>
      </c>
      <c r="J38" s="12">
        <v>6</v>
      </c>
      <c r="K38" s="12">
        <v>59.56</v>
      </c>
      <c r="L38" s="13">
        <f t="shared" si="5"/>
        <v>31.347368421052746</v>
      </c>
      <c r="M38" s="12"/>
      <c r="N38" s="12"/>
      <c r="O38" s="12"/>
      <c r="P38" s="12"/>
      <c r="Q38" s="12"/>
      <c r="R38" s="14"/>
      <c r="S38" s="14"/>
      <c r="T38" s="12"/>
      <c r="U38" s="12"/>
      <c r="V38" s="14">
        <v>2</v>
      </c>
      <c r="W38" s="14"/>
      <c r="X38" s="12">
        <v>9.5</v>
      </c>
      <c r="Y38" s="12"/>
      <c r="Z38" s="12">
        <v>9.5</v>
      </c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6"/>
    </row>
    <row r="39" spans="2:39" ht="25.05" customHeight="1">
      <c r="B39" s="15"/>
      <c r="C39" s="35"/>
      <c r="D39" s="23"/>
      <c r="E39" s="19" t="s">
        <v>477</v>
      </c>
      <c r="F39" s="9" t="s">
        <v>44</v>
      </c>
      <c r="G39" s="10">
        <v>0.90694444444444444</v>
      </c>
      <c r="H39" s="10">
        <v>0.92222222222222228</v>
      </c>
      <c r="I39" s="11">
        <f t="shared" si="4"/>
        <v>1.5277777777777835E-2</v>
      </c>
      <c r="J39" s="12">
        <v>6</v>
      </c>
      <c r="K39" s="12">
        <v>59.72</v>
      </c>
      <c r="L39" s="13">
        <f t="shared" si="5"/>
        <v>27.145454545454445</v>
      </c>
      <c r="M39" s="12"/>
      <c r="N39" s="12"/>
      <c r="O39" s="12"/>
      <c r="P39" s="12"/>
      <c r="Q39" s="12"/>
      <c r="R39" s="14"/>
      <c r="S39" s="14"/>
      <c r="T39" s="12"/>
      <c r="U39" s="12"/>
      <c r="V39" s="14">
        <v>2</v>
      </c>
      <c r="W39" s="14"/>
      <c r="X39" s="12"/>
      <c r="Y39" s="12">
        <v>11</v>
      </c>
      <c r="Z39" s="12">
        <v>11</v>
      </c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6"/>
    </row>
    <row r="40" spans="2:39" ht="25.05" customHeight="1">
      <c r="B40" s="15"/>
      <c r="C40" s="35"/>
      <c r="D40" s="23"/>
      <c r="E40" s="19" t="s">
        <v>478</v>
      </c>
      <c r="F40" s="9" t="s">
        <v>44</v>
      </c>
      <c r="G40" s="10">
        <v>0.91041666666666665</v>
      </c>
      <c r="H40" s="10">
        <v>0.92847222222222225</v>
      </c>
      <c r="I40" s="11">
        <f t="shared" si="4"/>
        <v>1.8055555555555602E-2</v>
      </c>
      <c r="J40" s="12">
        <v>6</v>
      </c>
      <c r="K40" s="12">
        <v>60.46</v>
      </c>
      <c r="L40" s="13">
        <f t="shared" si="5"/>
        <v>23.253846153846094</v>
      </c>
      <c r="M40" s="12"/>
      <c r="N40" s="12"/>
      <c r="O40" s="12"/>
      <c r="P40" s="12"/>
      <c r="Q40" s="12"/>
      <c r="R40" s="14"/>
      <c r="S40" s="14"/>
      <c r="T40" s="12"/>
      <c r="U40" s="12"/>
      <c r="V40" s="14">
        <v>2</v>
      </c>
      <c r="W40" s="14"/>
      <c r="X40" s="12">
        <v>13</v>
      </c>
      <c r="Y40" s="12">
        <v>13</v>
      </c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6"/>
    </row>
    <row r="41" spans="2:39" ht="25.05" customHeight="1">
      <c r="B41" s="15"/>
      <c r="C41" s="35"/>
      <c r="D41" s="23"/>
      <c r="E41" s="19" t="s">
        <v>479</v>
      </c>
      <c r="F41" s="9" t="s">
        <v>44</v>
      </c>
      <c r="G41" s="10">
        <v>0.92222222222222228</v>
      </c>
      <c r="H41" s="10">
        <v>0.93541666666666667</v>
      </c>
      <c r="I41" s="11">
        <f t="shared" si="4"/>
        <v>1.3194444444444398E-2</v>
      </c>
      <c r="J41" s="12">
        <v>6</v>
      </c>
      <c r="K41" s="12">
        <v>60.17</v>
      </c>
      <c r="L41" s="13">
        <f t="shared" si="5"/>
        <v>31.66842105263169</v>
      </c>
      <c r="M41" s="12"/>
      <c r="N41" s="12"/>
      <c r="O41" s="12"/>
      <c r="P41" s="12"/>
      <c r="Q41" s="12"/>
      <c r="R41" s="14"/>
      <c r="S41" s="14"/>
      <c r="T41" s="12"/>
      <c r="U41" s="12"/>
      <c r="V41" s="14">
        <v>2</v>
      </c>
      <c r="W41" s="14"/>
      <c r="X41" s="12">
        <v>9.5</v>
      </c>
      <c r="Y41" s="12"/>
      <c r="Z41" s="12">
        <v>9.5</v>
      </c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6"/>
    </row>
    <row r="42" spans="2:39" ht="25.05" customHeight="1">
      <c r="B42" s="15"/>
      <c r="C42" s="35"/>
      <c r="D42" s="23"/>
      <c r="E42" s="19"/>
      <c r="F42" s="9" t="s">
        <v>44</v>
      </c>
      <c r="G42" s="10"/>
      <c r="H42" s="10"/>
      <c r="I42" s="11">
        <f t="shared" si="4"/>
        <v>0</v>
      </c>
      <c r="J42" s="12"/>
      <c r="K42" s="12"/>
      <c r="L42" s="13" t="str">
        <f t="shared" si="5"/>
        <v>0</v>
      </c>
      <c r="M42" s="12"/>
      <c r="N42" s="12"/>
      <c r="O42" s="12"/>
      <c r="P42" s="12"/>
      <c r="Q42" s="12"/>
      <c r="R42" s="14"/>
      <c r="S42" s="14"/>
      <c r="T42" s="12"/>
      <c r="U42" s="12"/>
      <c r="V42" s="14"/>
      <c r="W42" s="14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6"/>
    </row>
    <row r="43" spans="2:39" ht="25.05" customHeight="1">
      <c r="B43" s="15"/>
      <c r="C43" s="35"/>
      <c r="D43" s="91" t="s">
        <v>201</v>
      </c>
      <c r="E43" s="19" t="s">
        <v>480</v>
      </c>
      <c r="F43" s="9" t="s">
        <v>44</v>
      </c>
      <c r="G43" s="10">
        <v>0.84375</v>
      </c>
      <c r="H43" s="10">
        <v>0.89236111111111116</v>
      </c>
      <c r="I43" s="11">
        <f t="shared" si="4"/>
        <v>4.861111111111116E-2</v>
      </c>
      <c r="J43" s="12">
        <v>5</v>
      </c>
      <c r="K43" s="12">
        <v>65.86</v>
      </c>
      <c r="L43" s="13">
        <f t="shared" si="5"/>
        <v>11.290285714285702</v>
      </c>
      <c r="M43" s="12"/>
      <c r="N43" s="12"/>
      <c r="O43" s="12"/>
      <c r="P43" s="12"/>
      <c r="Q43" s="12"/>
      <c r="R43" s="14"/>
      <c r="S43" s="14"/>
      <c r="T43" s="12"/>
      <c r="U43" s="12"/>
      <c r="V43" s="14"/>
      <c r="W43" s="14">
        <v>2</v>
      </c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>
        <v>23.33</v>
      </c>
      <c r="AI43" s="12">
        <v>23.33</v>
      </c>
      <c r="AJ43" s="12">
        <v>23.33</v>
      </c>
      <c r="AK43" s="12"/>
      <c r="AL43" s="12"/>
      <c r="AM43" s="16"/>
    </row>
    <row r="44" spans="2:39" ht="25.05" customHeight="1">
      <c r="B44" s="15"/>
      <c r="C44" s="35"/>
      <c r="D44" s="23"/>
      <c r="E44" s="19" t="s">
        <v>481</v>
      </c>
      <c r="F44" s="9" t="s">
        <v>44</v>
      </c>
      <c r="G44" s="10">
        <v>0.8930555555555556</v>
      </c>
      <c r="H44" s="10">
        <v>0.92986111111111114</v>
      </c>
      <c r="I44" s="11">
        <f t="shared" si="4"/>
        <v>3.6805555555555536E-2</v>
      </c>
      <c r="J44" s="12">
        <v>5</v>
      </c>
      <c r="K44" s="12">
        <v>69.56</v>
      </c>
      <c r="L44" s="13">
        <f t="shared" si="5"/>
        <v>15.749433962264161</v>
      </c>
      <c r="M44" s="12"/>
      <c r="N44" s="12"/>
      <c r="O44" s="12"/>
      <c r="P44" s="12"/>
      <c r="Q44" s="12"/>
      <c r="R44" s="14"/>
      <c r="S44" s="14"/>
      <c r="T44" s="12"/>
      <c r="U44" s="12"/>
      <c r="V44" s="14"/>
      <c r="W44" s="14">
        <v>2</v>
      </c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>
        <v>17.66</v>
      </c>
      <c r="AI44" s="12">
        <v>17.66</v>
      </c>
      <c r="AJ44" s="12">
        <v>17.66</v>
      </c>
      <c r="AK44" s="12"/>
      <c r="AL44" s="12"/>
      <c r="AM44" s="16"/>
    </row>
    <row r="45" spans="2:39" ht="25.05" customHeight="1">
      <c r="B45" s="15"/>
      <c r="C45" s="35"/>
      <c r="D45" s="23"/>
      <c r="E45" s="19" t="s">
        <v>482</v>
      </c>
      <c r="F45" s="9" t="s">
        <v>44</v>
      </c>
      <c r="G45" s="10">
        <v>0.93055555555555558</v>
      </c>
      <c r="H45" s="10">
        <v>0.97222222222222221</v>
      </c>
      <c r="I45" s="11">
        <f t="shared" si="4"/>
        <v>4.166666666666663E-2</v>
      </c>
      <c r="J45" s="12">
        <v>5</v>
      </c>
      <c r="K45" s="12">
        <v>69.83</v>
      </c>
      <c r="L45" s="13">
        <f t="shared" si="5"/>
        <v>13.966000000000014</v>
      </c>
      <c r="M45" s="12"/>
      <c r="N45" s="12"/>
      <c r="O45" s="12"/>
      <c r="P45" s="12"/>
      <c r="Q45" s="12"/>
      <c r="R45" s="14"/>
      <c r="S45" s="14"/>
      <c r="T45" s="12"/>
      <c r="U45" s="12"/>
      <c r="V45" s="14"/>
      <c r="W45" s="14">
        <v>2</v>
      </c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>
        <v>20</v>
      </c>
      <c r="AI45" s="12">
        <v>20</v>
      </c>
      <c r="AJ45" s="12">
        <v>20</v>
      </c>
      <c r="AK45" s="12"/>
      <c r="AL45" s="12"/>
      <c r="AM45" s="16"/>
    </row>
    <row r="46" spans="2:39" ht="25.05" customHeight="1">
      <c r="B46" s="15"/>
      <c r="C46" s="35"/>
      <c r="D46" s="23"/>
      <c r="E46" s="19" t="s">
        <v>483</v>
      </c>
      <c r="F46" s="9" t="s">
        <v>44</v>
      </c>
      <c r="G46" s="10">
        <v>46107.973611111112</v>
      </c>
      <c r="H46" s="10">
        <v>46108.006944444445</v>
      </c>
      <c r="I46" s="11">
        <f t="shared" si="4"/>
        <v>3.3333333332848269E-2</v>
      </c>
      <c r="J46" s="12">
        <v>5</v>
      </c>
      <c r="K46" s="12">
        <v>66.459999999999994</v>
      </c>
      <c r="L46" s="13">
        <f t="shared" si="5"/>
        <v>16.615000000241778</v>
      </c>
      <c r="M46" s="12"/>
      <c r="N46" s="12"/>
      <c r="O46" s="12"/>
      <c r="P46" s="12"/>
      <c r="Q46" s="12"/>
      <c r="R46" s="14"/>
      <c r="S46" s="14"/>
      <c r="T46" s="12"/>
      <c r="U46" s="12"/>
      <c r="V46" s="14"/>
      <c r="W46" s="14">
        <v>2</v>
      </c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>
        <v>16</v>
      </c>
      <c r="AI46" s="12">
        <v>16</v>
      </c>
      <c r="AJ46" s="12">
        <v>16</v>
      </c>
      <c r="AK46" s="12"/>
      <c r="AL46" s="12"/>
      <c r="AM46" s="16"/>
    </row>
    <row r="47" spans="2:39" ht="25.05" customHeight="1">
      <c r="B47" s="15"/>
      <c r="C47" s="35"/>
      <c r="D47" s="23"/>
      <c r="E47" s="19" t="s">
        <v>484</v>
      </c>
      <c r="F47" s="9" t="s">
        <v>44</v>
      </c>
      <c r="G47" s="10">
        <v>8.3333333333333329E-2</v>
      </c>
      <c r="H47" s="10">
        <v>0.125</v>
      </c>
      <c r="I47" s="11">
        <f t="shared" si="4"/>
        <v>4.1666666666666671E-2</v>
      </c>
      <c r="J47" s="12">
        <v>5</v>
      </c>
      <c r="K47" s="12">
        <v>66.849999999999994</v>
      </c>
      <c r="L47" s="13">
        <f t="shared" si="5"/>
        <v>13.369999999999997</v>
      </c>
      <c r="M47" s="12"/>
      <c r="N47" s="12"/>
      <c r="O47" s="12"/>
      <c r="P47" s="12"/>
      <c r="Q47" s="12"/>
      <c r="R47" s="14"/>
      <c r="S47" s="14"/>
      <c r="T47" s="12"/>
      <c r="U47" s="12"/>
      <c r="V47" s="14"/>
      <c r="W47" s="14">
        <v>2</v>
      </c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>
        <v>20</v>
      </c>
      <c r="AI47" s="12">
        <v>20</v>
      </c>
      <c r="AJ47" s="12">
        <v>20</v>
      </c>
      <c r="AK47" s="12"/>
      <c r="AL47" s="12"/>
      <c r="AM47" s="16"/>
    </row>
    <row r="48" spans="2:39" ht="25.05" customHeight="1">
      <c r="B48" s="15"/>
      <c r="C48" s="35"/>
      <c r="D48" s="23"/>
      <c r="E48" s="19" t="s">
        <v>485</v>
      </c>
      <c r="F48" s="9" t="s">
        <v>44</v>
      </c>
      <c r="G48" s="10">
        <v>0.12708333333333333</v>
      </c>
      <c r="H48" s="10">
        <v>0.16250000000000001</v>
      </c>
      <c r="I48" s="11">
        <f t="shared" si="4"/>
        <v>3.541666666666668E-2</v>
      </c>
      <c r="J48" s="12">
        <v>5</v>
      </c>
      <c r="K48" s="12">
        <v>68.06</v>
      </c>
      <c r="L48" s="13">
        <f t="shared" si="5"/>
        <v>16.014117647058818</v>
      </c>
      <c r="M48" s="12"/>
      <c r="N48" s="12"/>
      <c r="O48" s="12"/>
      <c r="P48" s="12"/>
      <c r="Q48" s="12"/>
      <c r="R48" s="14"/>
      <c r="S48" s="14"/>
      <c r="T48" s="12"/>
      <c r="U48" s="12"/>
      <c r="V48" s="14"/>
      <c r="W48" s="14">
        <v>2</v>
      </c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>
        <v>17</v>
      </c>
      <c r="AI48" s="12">
        <v>17</v>
      </c>
      <c r="AJ48" s="12">
        <v>17</v>
      </c>
      <c r="AK48" s="12"/>
      <c r="AL48" s="12"/>
      <c r="AM48" s="16"/>
    </row>
    <row r="49" spans="1:39" ht="25.05" customHeight="1">
      <c r="B49" s="15"/>
      <c r="C49" s="35"/>
      <c r="D49" s="23"/>
      <c r="E49" s="19" t="s">
        <v>486</v>
      </c>
      <c r="F49" s="9" t="s">
        <v>44</v>
      </c>
      <c r="G49" s="10">
        <v>0.16319444444444445</v>
      </c>
      <c r="H49" s="10">
        <v>0.19444444444444445</v>
      </c>
      <c r="I49" s="11">
        <f t="shared" si="4"/>
        <v>3.125E-2</v>
      </c>
      <c r="J49" s="12">
        <v>5</v>
      </c>
      <c r="K49" s="12">
        <v>68.75</v>
      </c>
      <c r="L49" s="13">
        <f t="shared" si="5"/>
        <v>18.333333333333332</v>
      </c>
      <c r="M49" s="12"/>
      <c r="N49" s="12"/>
      <c r="O49" s="12"/>
      <c r="P49" s="12"/>
      <c r="Q49" s="12"/>
      <c r="R49" s="14"/>
      <c r="S49" s="14"/>
      <c r="T49" s="12"/>
      <c r="U49" s="12"/>
      <c r="V49" s="14"/>
      <c r="W49" s="14">
        <v>2</v>
      </c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>
        <v>11.25</v>
      </c>
      <c r="AI49" s="12">
        <v>11.25</v>
      </c>
      <c r="AJ49" s="12">
        <v>11.25</v>
      </c>
      <c r="AK49" s="12">
        <v>11.25</v>
      </c>
      <c r="AL49" s="12"/>
      <c r="AM49" s="16"/>
    </row>
    <row r="50" spans="1:39" ht="25.05" customHeight="1">
      <c r="B50" s="15"/>
      <c r="C50" s="35"/>
      <c r="D50" s="23"/>
      <c r="E50" s="19" t="s">
        <v>487</v>
      </c>
      <c r="F50" s="9" t="s">
        <v>44</v>
      </c>
      <c r="G50" s="10">
        <v>0.19513888888888889</v>
      </c>
      <c r="H50" s="10">
        <v>0.22777777777777777</v>
      </c>
      <c r="I50" s="11">
        <f t="shared" si="4"/>
        <v>3.2638888888888884E-2</v>
      </c>
      <c r="J50" s="12">
        <v>5</v>
      </c>
      <c r="K50" s="12">
        <v>69.34</v>
      </c>
      <c r="L50" s="13">
        <f t="shared" si="5"/>
        <v>17.703829787234046</v>
      </c>
      <c r="M50" s="12"/>
      <c r="N50" s="12"/>
      <c r="O50" s="12"/>
      <c r="P50" s="12"/>
      <c r="Q50" s="12"/>
      <c r="R50" s="14"/>
      <c r="S50" s="14"/>
      <c r="T50" s="12"/>
      <c r="U50" s="12"/>
      <c r="V50" s="14"/>
      <c r="W50" s="14">
        <v>2</v>
      </c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>
        <v>11.75</v>
      </c>
      <c r="AI50" s="12">
        <v>11.75</v>
      </c>
      <c r="AJ50" s="12">
        <v>11.75</v>
      </c>
      <c r="AK50" s="12">
        <v>11.75</v>
      </c>
      <c r="AL50" s="12"/>
      <c r="AM50" s="16"/>
    </row>
    <row r="51" spans="1:39" ht="25.05" customHeight="1">
      <c r="B51" s="15"/>
      <c r="C51" s="35"/>
      <c r="D51" s="23"/>
      <c r="E51" s="19"/>
      <c r="F51" s="9" t="s">
        <v>44</v>
      </c>
      <c r="G51" s="10"/>
      <c r="H51" s="10"/>
      <c r="I51" s="11">
        <f t="shared" si="4"/>
        <v>0</v>
      </c>
      <c r="J51" s="12"/>
      <c r="K51" s="12"/>
      <c r="L51" s="13" t="str">
        <f t="shared" si="5"/>
        <v>0</v>
      </c>
      <c r="M51" s="12"/>
      <c r="N51" s="12"/>
      <c r="O51" s="12"/>
      <c r="P51" s="12"/>
      <c r="Q51" s="12"/>
      <c r="R51" s="14"/>
      <c r="S51" s="14"/>
      <c r="T51" s="12"/>
      <c r="U51" s="12"/>
      <c r="V51" s="14"/>
      <c r="W51" s="14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6"/>
    </row>
    <row r="52" spans="1:39" ht="25.05" customHeight="1">
      <c r="B52" s="15"/>
      <c r="C52" s="35"/>
      <c r="D52" s="23"/>
      <c r="E52" s="19"/>
      <c r="F52" s="9" t="s">
        <v>44</v>
      </c>
      <c r="G52" s="10"/>
      <c r="H52" s="10"/>
      <c r="I52" s="11">
        <v>4</v>
      </c>
      <c r="J52" s="12"/>
      <c r="K52" s="12"/>
      <c r="L52" s="13" t="str">
        <f t="shared" si="5"/>
        <v>0</v>
      </c>
      <c r="M52" s="12"/>
      <c r="N52" s="12"/>
      <c r="O52" s="12"/>
      <c r="P52" s="12"/>
      <c r="Q52" s="12"/>
      <c r="R52" s="14"/>
      <c r="S52" s="14"/>
      <c r="T52" s="12"/>
      <c r="U52" s="12"/>
      <c r="V52" s="14"/>
      <c r="W52" s="14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6"/>
    </row>
    <row r="53" spans="1:39" s="34" customFormat="1" ht="25.5" customHeight="1" thickBot="1">
      <c r="A53" s="1"/>
      <c r="B53" s="59"/>
      <c r="C53" s="60"/>
      <c r="D53" s="61"/>
      <c r="E53" s="62"/>
      <c r="F53" s="62"/>
      <c r="G53" s="63"/>
      <c r="H53" s="63"/>
      <c r="I53" s="64"/>
      <c r="J53" s="65"/>
      <c r="K53" s="65">
        <f t="shared" ref="K53:AM53" si="6">SUM(K19:K52)</f>
        <v>2018.9199999999996</v>
      </c>
      <c r="L53" s="33">
        <f t="shared" si="6"/>
        <v>828.49884455177244</v>
      </c>
      <c r="M53" s="65">
        <f t="shared" si="6"/>
        <v>0</v>
      </c>
      <c r="N53" s="65">
        <f t="shared" si="6"/>
        <v>0</v>
      </c>
      <c r="O53" s="65">
        <f t="shared" si="6"/>
        <v>0</v>
      </c>
      <c r="P53" s="65">
        <f t="shared" si="6"/>
        <v>0</v>
      </c>
      <c r="Q53" s="65">
        <f t="shared" si="6"/>
        <v>0</v>
      </c>
      <c r="R53" s="65">
        <f t="shared" si="6"/>
        <v>0</v>
      </c>
      <c r="S53" s="65">
        <f t="shared" si="6"/>
        <v>0</v>
      </c>
      <c r="T53" s="65">
        <f t="shared" si="6"/>
        <v>0</v>
      </c>
      <c r="U53" s="65">
        <f t="shared" si="6"/>
        <v>0</v>
      </c>
      <c r="V53" s="65">
        <f t="shared" si="6"/>
        <v>30</v>
      </c>
      <c r="W53" s="65">
        <f t="shared" si="6"/>
        <v>32</v>
      </c>
      <c r="X53" s="65">
        <f t="shared" si="6"/>
        <v>97.1</v>
      </c>
      <c r="Y53" s="65">
        <f t="shared" si="6"/>
        <v>78.599999999999994</v>
      </c>
      <c r="Z53" s="65">
        <f t="shared" si="6"/>
        <v>76.599999999999994</v>
      </c>
      <c r="AA53" s="65">
        <f t="shared" si="6"/>
        <v>8.5</v>
      </c>
      <c r="AB53" s="65">
        <f t="shared" si="6"/>
        <v>0</v>
      </c>
      <c r="AC53" s="65">
        <f t="shared" si="6"/>
        <v>0</v>
      </c>
      <c r="AD53" s="65">
        <f t="shared" si="6"/>
        <v>115</v>
      </c>
      <c r="AE53" s="65">
        <f t="shared" si="6"/>
        <v>103</v>
      </c>
      <c r="AF53" s="65">
        <f t="shared" si="6"/>
        <v>0</v>
      </c>
      <c r="AG53" s="65">
        <f t="shared" si="6"/>
        <v>0</v>
      </c>
      <c r="AH53" s="65">
        <f t="shared" si="6"/>
        <v>136.99</v>
      </c>
      <c r="AI53" s="65">
        <f t="shared" si="6"/>
        <v>136.99</v>
      </c>
      <c r="AJ53" s="65">
        <f t="shared" si="6"/>
        <v>136.99</v>
      </c>
      <c r="AK53" s="65">
        <f t="shared" si="6"/>
        <v>23</v>
      </c>
      <c r="AL53" s="65">
        <f t="shared" si="6"/>
        <v>0</v>
      </c>
      <c r="AM53" s="65">
        <f t="shared" si="6"/>
        <v>0</v>
      </c>
    </row>
    <row r="54" spans="1:39" ht="38.1" customHeight="1" thickBot="1">
      <c r="B54" s="67" t="s">
        <v>161</v>
      </c>
      <c r="C54" s="68"/>
      <c r="D54" s="68"/>
      <c r="E54" s="68"/>
      <c r="F54" s="68"/>
      <c r="G54" s="68"/>
      <c r="H54" s="68"/>
      <c r="I54" s="68"/>
      <c r="J54" s="68"/>
      <c r="K54" s="69">
        <f>K15+K18+K53</f>
        <v>3269.9599999999996</v>
      </c>
      <c r="L54" s="69">
        <f>L15+L18+L53</f>
        <v>1095.5790684323697</v>
      </c>
      <c r="M54" s="70">
        <f t="shared" ref="M54:AM54" si="7">(M15+M18+M53)/(480-15-30)</f>
        <v>0.22988505747126436</v>
      </c>
      <c r="N54" s="70">
        <f t="shared" si="7"/>
        <v>0</v>
      </c>
      <c r="O54" s="70">
        <f t="shared" si="7"/>
        <v>0</v>
      </c>
      <c r="P54" s="70">
        <f t="shared" si="7"/>
        <v>0</v>
      </c>
      <c r="Q54" s="70">
        <f t="shared" si="7"/>
        <v>0</v>
      </c>
      <c r="R54" s="70">
        <f t="shared" si="7"/>
        <v>0</v>
      </c>
      <c r="S54" s="70">
        <f t="shared" si="7"/>
        <v>0.82298850574712645</v>
      </c>
      <c r="T54" s="70">
        <f t="shared" si="7"/>
        <v>0</v>
      </c>
      <c r="U54" s="70">
        <f t="shared" si="7"/>
        <v>0</v>
      </c>
      <c r="V54" s="70">
        <f t="shared" si="7"/>
        <v>6.8965517241379309E-2</v>
      </c>
      <c r="W54" s="70">
        <f t="shared" si="7"/>
        <v>7.3563218390804597E-2</v>
      </c>
      <c r="X54" s="70">
        <f t="shared" si="7"/>
        <v>0.22321839080459768</v>
      </c>
      <c r="Y54" s="70">
        <f t="shared" si="7"/>
        <v>0.18068965517241378</v>
      </c>
      <c r="Z54" s="70">
        <f t="shared" si="7"/>
        <v>0.17609195402298849</v>
      </c>
      <c r="AA54" s="70">
        <f t="shared" si="7"/>
        <v>1.9540229885057471E-2</v>
      </c>
      <c r="AB54" s="70">
        <f t="shared" si="7"/>
        <v>0</v>
      </c>
      <c r="AC54" s="70">
        <f t="shared" si="7"/>
        <v>0</v>
      </c>
      <c r="AD54" s="70">
        <f t="shared" si="7"/>
        <v>0.26436781609195403</v>
      </c>
      <c r="AE54" s="70">
        <f t="shared" si="7"/>
        <v>0.23678160919540231</v>
      </c>
      <c r="AF54" s="70">
        <f t="shared" si="7"/>
        <v>0</v>
      </c>
      <c r="AG54" s="70">
        <f t="shared" si="7"/>
        <v>0</v>
      </c>
      <c r="AH54" s="70">
        <f t="shared" si="7"/>
        <v>0.31491954022988505</v>
      </c>
      <c r="AI54" s="70">
        <f t="shared" si="7"/>
        <v>0.31491954022988505</v>
      </c>
      <c r="AJ54" s="70">
        <f t="shared" si="7"/>
        <v>0.31491954022988505</v>
      </c>
      <c r="AK54" s="70">
        <f t="shared" si="7"/>
        <v>5.2873563218390804E-2</v>
      </c>
      <c r="AL54" s="70">
        <f t="shared" si="7"/>
        <v>0</v>
      </c>
      <c r="AM54" s="70">
        <f t="shared" si="7"/>
        <v>0</v>
      </c>
    </row>
    <row r="55" spans="1:39" ht="25.05" customHeight="1">
      <c r="B55" s="71"/>
      <c r="C55" s="71"/>
      <c r="D55" s="71"/>
      <c r="E55" s="72"/>
      <c r="F55" s="72"/>
      <c r="G55" s="72"/>
      <c r="H55" s="72"/>
      <c r="I55" s="73"/>
      <c r="J55" s="73"/>
      <c r="K55" s="72"/>
      <c r="L55" s="74"/>
      <c r="M55" s="74"/>
      <c r="N55" s="74"/>
      <c r="O55" s="74"/>
      <c r="P55" s="74"/>
      <c r="Q55" s="72"/>
      <c r="R55" s="72"/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</row>
    <row r="56" spans="1:39" ht="25.05" customHeight="1">
      <c r="B56" s="71"/>
      <c r="C56" s="71"/>
      <c r="D56" s="71"/>
      <c r="E56" s="72"/>
      <c r="F56" s="72"/>
      <c r="G56" s="72"/>
      <c r="H56" s="72"/>
      <c r="I56" s="75" t="s">
        <v>162</v>
      </c>
      <c r="J56" s="73"/>
      <c r="K56" s="72"/>
      <c r="L56" s="74"/>
      <c r="M56" s="74"/>
      <c r="N56" s="74"/>
      <c r="O56" s="74"/>
      <c r="P56" s="74"/>
      <c r="Q56" s="72"/>
      <c r="R56" s="72"/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</row>
    <row r="57" spans="1:39" ht="25.05" customHeight="1">
      <c r="B57" s="71"/>
      <c r="C57" s="71"/>
      <c r="D57" s="71"/>
      <c r="E57" s="72"/>
      <c r="F57" s="72"/>
      <c r="G57" s="72"/>
      <c r="H57" s="72"/>
      <c r="I57" s="76" t="s">
        <v>163</v>
      </c>
      <c r="J57" s="10">
        <v>0</v>
      </c>
      <c r="K57" s="12">
        <v>8</v>
      </c>
      <c r="L57" s="12" t="s">
        <v>164</v>
      </c>
      <c r="M57" s="74"/>
      <c r="N57" s="16">
        <v>2</v>
      </c>
      <c r="O57" s="16"/>
      <c r="P57" s="16"/>
      <c r="Q57" s="77" t="s">
        <v>165</v>
      </c>
      <c r="R57" s="78"/>
      <c r="S57" s="72"/>
      <c r="T57" s="72"/>
      <c r="U57" s="72"/>
      <c r="V57" s="72"/>
      <c r="W57" s="72"/>
      <c r="X57" s="72"/>
      <c r="Y57" s="72"/>
      <c r="Z57" s="72"/>
      <c r="AA57" s="72"/>
      <c r="AC57" s="72"/>
      <c r="AD57" s="72"/>
      <c r="AE57" s="72"/>
      <c r="AF57" s="72"/>
      <c r="AG57" s="72"/>
      <c r="AH57" s="72"/>
      <c r="AI57" s="72"/>
    </row>
    <row r="58" spans="1:39" ht="25.05" customHeight="1">
      <c r="B58" s="71"/>
      <c r="C58" s="71"/>
      <c r="D58" s="71"/>
      <c r="E58" s="72"/>
      <c r="F58" s="72"/>
      <c r="G58" s="72"/>
      <c r="H58" s="72"/>
      <c r="I58" s="76" t="s">
        <v>166</v>
      </c>
      <c r="J58" s="10">
        <v>0</v>
      </c>
      <c r="K58" s="12">
        <v>0</v>
      </c>
      <c r="L58" s="12" t="s">
        <v>164</v>
      </c>
      <c r="M58" s="74"/>
      <c r="N58" s="16">
        <v>0</v>
      </c>
      <c r="O58" s="16"/>
      <c r="P58" s="16"/>
      <c r="Q58" s="77" t="s">
        <v>167</v>
      </c>
      <c r="R58" s="78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</row>
    <row r="59" spans="1:39" ht="25.05" customHeight="1">
      <c r="B59" s="71"/>
      <c r="C59" s="71"/>
      <c r="D59" s="71"/>
      <c r="E59" s="72"/>
      <c r="F59" s="72"/>
      <c r="G59" s="72"/>
      <c r="H59" s="72"/>
      <c r="I59" s="76" t="s">
        <v>168</v>
      </c>
      <c r="J59" s="10">
        <v>0</v>
      </c>
      <c r="K59" s="12">
        <v>17</v>
      </c>
      <c r="L59" s="12" t="s">
        <v>164</v>
      </c>
      <c r="M59" s="74"/>
      <c r="N59" s="16">
        <v>1</v>
      </c>
      <c r="O59" s="16"/>
      <c r="P59" s="16"/>
      <c r="Q59" s="77" t="s">
        <v>169</v>
      </c>
      <c r="R59" s="78"/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</row>
    <row r="60" spans="1:39" ht="25.05" customHeight="1">
      <c r="B60" s="71"/>
      <c r="C60" s="71"/>
      <c r="D60" s="71"/>
      <c r="E60" s="72"/>
      <c r="F60" s="72"/>
      <c r="G60" s="72"/>
      <c r="H60" s="72"/>
      <c r="I60" s="79" t="s">
        <v>170</v>
      </c>
      <c r="J60" s="52">
        <v>0</v>
      </c>
      <c r="K60" s="12">
        <v>2</v>
      </c>
      <c r="L60" s="53" t="s">
        <v>164</v>
      </c>
      <c r="M60" s="74"/>
      <c r="N60" s="16">
        <v>2</v>
      </c>
      <c r="O60" s="16"/>
      <c r="P60" s="16"/>
      <c r="Q60" s="77" t="s">
        <v>171</v>
      </c>
      <c r="R60" s="78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</row>
    <row r="61" spans="1:39" ht="25.05" customHeight="1">
      <c r="B61" s="71"/>
      <c r="C61" s="71"/>
      <c r="D61" s="71"/>
      <c r="E61" s="72"/>
      <c r="F61" s="72"/>
      <c r="G61" s="72"/>
      <c r="H61" s="72"/>
      <c r="I61" s="76" t="s">
        <v>172</v>
      </c>
      <c r="J61" s="10">
        <v>0</v>
      </c>
      <c r="K61" s="12">
        <v>27</v>
      </c>
      <c r="L61" s="12" t="s">
        <v>164</v>
      </c>
      <c r="M61" s="74"/>
      <c r="N61"/>
      <c r="O61"/>
      <c r="P61"/>
      <c r="Q61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</row>
    <row r="62" spans="1:39" ht="25.05" customHeight="1">
      <c r="B62" s="71"/>
      <c r="C62" s="71"/>
      <c r="D62" s="71"/>
      <c r="E62" s="72"/>
      <c r="F62" s="72"/>
      <c r="G62" s="72"/>
      <c r="H62" s="72"/>
      <c r="M62" s="74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</row>
    <row r="63" spans="1:39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M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0645-DA89-4B63-B95A-A95F91BFE788}">
  <sheetPr>
    <pageSetUpPr fitToPage="1"/>
  </sheetPr>
  <dimension ref="A1:AM137"/>
  <sheetViews>
    <sheetView zoomScale="40" zoomScaleNormal="4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1" customWidth="1"/>
    <col min="2" max="2" width="13" style="1" customWidth="1"/>
    <col min="3" max="3" width="17.5546875" style="1" customWidth="1"/>
    <col min="4" max="4" width="77.44140625" style="1" customWidth="1"/>
    <col min="5" max="5" width="46" style="1" customWidth="1"/>
    <col min="6" max="6" width="25.21875" style="1" customWidth="1"/>
    <col min="7" max="7" width="13.44140625" style="1" customWidth="1"/>
    <col min="8" max="8" width="12.5546875" style="1" customWidth="1"/>
    <col min="9" max="9" width="22.5546875" style="1" customWidth="1"/>
    <col min="10" max="10" width="12.5546875" style="1" customWidth="1"/>
    <col min="11" max="11" width="17.44140625" style="1" customWidth="1"/>
    <col min="12" max="12" width="20.77734375" style="1" customWidth="1"/>
    <col min="13" max="31" width="16.21875" style="1" customWidth="1"/>
    <col min="32" max="32" width="17.77734375" style="1" customWidth="1"/>
    <col min="33" max="38" width="16.21875" style="1" customWidth="1"/>
    <col min="39" max="39" width="14.44140625" style="1" customWidth="1"/>
    <col min="40" max="16384" width="10.21875" style="1"/>
  </cols>
  <sheetData>
    <row r="1" spans="1:39" ht="18.75" customHeight="1">
      <c r="A1" s="1" t="s">
        <v>0</v>
      </c>
    </row>
    <row r="2" spans="1:39" ht="25.05" customHeight="1">
      <c r="B2" s="114" t="s">
        <v>1</v>
      </c>
      <c r="C2" s="114" t="s">
        <v>2</v>
      </c>
      <c r="D2" s="114" t="s">
        <v>3</v>
      </c>
      <c r="E2" s="114" t="s">
        <v>4</v>
      </c>
      <c r="F2" s="114" t="s">
        <v>5</v>
      </c>
      <c r="G2" s="115" t="s">
        <v>6</v>
      </c>
      <c r="H2" s="115"/>
      <c r="I2" s="109" t="s">
        <v>7</v>
      </c>
      <c r="J2" s="110" t="s">
        <v>8</v>
      </c>
      <c r="K2" s="110" t="s">
        <v>9</v>
      </c>
      <c r="L2" s="110" t="s">
        <v>10</v>
      </c>
      <c r="M2" s="111" t="s">
        <v>11</v>
      </c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3"/>
    </row>
    <row r="3" spans="1:39" ht="46.5" customHeight="1">
      <c r="B3" s="114"/>
      <c r="C3" s="114"/>
      <c r="D3" s="114"/>
      <c r="E3" s="114"/>
      <c r="F3" s="114"/>
      <c r="G3" s="3" t="s">
        <v>12</v>
      </c>
      <c r="H3" s="3" t="s">
        <v>13</v>
      </c>
      <c r="I3" s="109"/>
      <c r="J3" s="110"/>
      <c r="K3" s="110"/>
      <c r="L3" s="110"/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4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</row>
    <row r="4" spans="1:39" ht="25.05" customHeight="1">
      <c r="B4" s="5" t="s">
        <v>41</v>
      </c>
      <c r="C4" s="6" t="s">
        <v>42</v>
      </c>
      <c r="D4" s="7"/>
      <c r="E4" s="8" t="s">
        <v>43</v>
      </c>
      <c r="F4" s="9" t="s">
        <v>44</v>
      </c>
      <c r="G4" s="10">
        <v>0.29166666666666669</v>
      </c>
      <c r="H4" s="10">
        <v>0.3125</v>
      </c>
      <c r="I4" s="11">
        <f t="shared" ref="I4:I24" si="0">H4-G4</f>
        <v>2.0833333333333315E-2</v>
      </c>
      <c r="J4" s="12">
        <v>10</v>
      </c>
      <c r="K4" s="12" t="s">
        <v>44</v>
      </c>
      <c r="L4" s="13" t="str">
        <f t="shared" ref="L4:L24" si="1">IFERROR(((K4/(J4*I4)/24)),"0")</f>
        <v>0</v>
      </c>
      <c r="M4" s="12"/>
      <c r="N4" s="12"/>
      <c r="O4" s="12"/>
      <c r="P4" s="12"/>
      <c r="Q4" s="12"/>
      <c r="R4" s="14"/>
      <c r="S4" s="14"/>
      <c r="T4" s="12"/>
      <c r="U4" s="12"/>
      <c r="V4" s="14"/>
      <c r="W4" s="14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ht="25.05" customHeight="1">
      <c r="B5" s="15"/>
      <c r="C5" s="16"/>
      <c r="D5" s="7" t="s">
        <v>45</v>
      </c>
      <c r="E5" s="17" t="s">
        <v>46</v>
      </c>
      <c r="F5" s="9" t="s">
        <v>47</v>
      </c>
      <c r="G5" s="10">
        <v>0.29166666666666669</v>
      </c>
      <c r="H5" s="10">
        <v>0.35416666666666669</v>
      </c>
      <c r="I5" s="11">
        <f t="shared" si="0"/>
        <v>6.25E-2</v>
      </c>
      <c r="J5" s="12">
        <v>5</v>
      </c>
      <c r="K5" s="18">
        <v>169.75</v>
      </c>
      <c r="L5" s="13">
        <f t="shared" si="1"/>
        <v>22.633333333333336</v>
      </c>
      <c r="M5" s="12"/>
      <c r="N5" s="12"/>
      <c r="O5" s="12">
        <v>90</v>
      </c>
      <c r="P5" s="12"/>
      <c r="Q5" s="12"/>
      <c r="R5" s="14"/>
      <c r="S5" s="14"/>
      <c r="T5" s="12"/>
      <c r="U5" s="12"/>
      <c r="V5" s="14"/>
      <c r="W5" s="14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ht="25.05" customHeight="1">
      <c r="B6" s="15"/>
      <c r="C6" s="16"/>
      <c r="D6" s="7"/>
      <c r="E6" s="19" t="s">
        <v>48</v>
      </c>
      <c r="F6" s="9" t="s">
        <v>49</v>
      </c>
      <c r="G6" s="10">
        <v>0.29166666666666669</v>
      </c>
      <c r="H6" s="10">
        <v>0.3888888888888889</v>
      </c>
      <c r="I6" s="11">
        <f t="shared" si="0"/>
        <v>9.722222222222221E-2</v>
      </c>
      <c r="J6" s="12">
        <v>4</v>
      </c>
      <c r="K6" s="18">
        <v>75.45</v>
      </c>
      <c r="L6" s="13">
        <f t="shared" si="1"/>
        <v>8.0839285714285722</v>
      </c>
      <c r="M6" s="12"/>
      <c r="N6" s="12"/>
      <c r="O6" s="12"/>
      <c r="P6" s="12"/>
      <c r="Q6" s="12"/>
      <c r="R6" s="14"/>
      <c r="S6" s="14">
        <v>140</v>
      </c>
      <c r="T6" s="12"/>
      <c r="U6" s="12"/>
      <c r="V6" s="14"/>
      <c r="W6" s="14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 ht="25.05" customHeight="1">
      <c r="B7" s="15"/>
      <c r="C7" s="16"/>
      <c r="D7" s="7"/>
      <c r="E7" s="20" t="s">
        <v>50</v>
      </c>
      <c r="F7" s="21" t="s">
        <v>44</v>
      </c>
      <c r="G7" s="10">
        <v>0.36805555555555558</v>
      </c>
      <c r="H7" s="10">
        <v>0.39583333333333331</v>
      </c>
      <c r="I7" s="11">
        <f t="shared" si="0"/>
        <v>2.7777777777777735E-2</v>
      </c>
      <c r="J7" s="12">
        <v>1</v>
      </c>
      <c r="K7" s="18">
        <v>75.48</v>
      </c>
      <c r="L7" s="13">
        <f t="shared" si="1"/>
        <v>113.22000000000018</v>
      </c>
      <c r="M7" s="12"/>
      <c r="N7" s="12"/>
      <c r="O7" s="12">
        <v>40</v>
      </c>
      <c r="P7" s="12"/>
      <c r="Q7" s="12"/>
      <c r="R7" s="14"/>
      <c r="S7" s="14"/>
      <c r="T7" s="12"/>
      <c r="U7" s="12"/>
      <c r="V7" s="14"/>
      <c r="W7" s="14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 ht="25.05" customHeight="1">
      <c r="B8" s="15"/>
      <c r="C8" s="16"/>
      <c r="D8" s="7"/>
      <c r="E8" s="20" t="s">
        <v>51</v>
      </c>
      <c r="F8" s="22" t="s">
        <v>44</v>
      </c>
      <c r="G8" s="10">
        <v>0.3125</v>
      </c>
      <c r="H8" s="10">
        <v>0.33333333333333331</v>
      </c>
      <c r="I8" s="11">
        <f t="shared" si="0"/>
        <v>2.0833333333333315E-2</v>
      </c>
      <c r="J8" s="12">
        <v>1</v>
      </c>
      <c r="K8" s="18">
        <v>82.62</v>
      </c>
      <c r="L8" s="13">
        <f t="shared" si="1"/>
        <v>165.24000000000015</v>
      </c>
      <c r="M8" s="12"/>
      <c r="N8" s="12"/>
      <c r="O8" s="12"/>
      <c r="P8" s="12"/>
      <c r="Q8" s="12"/>
      <c r="R8" s="14"/>
      <c r="S8" s="14"/>
      <c r="T8" s="12"/>
      <c r="U8" s="12"/>
      <c r="V8" s="14"/>
      <c r="W8" s="14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 ht="25.05" customHeight="1">
      <c r="B9" s="15"/>
      <c r="C9" s="16"/>
      <c r="D9" s="7" t="s">
        <v>52</v>
      </c>
      <c r="E9" s="20" t="s">
        <v>53</v>
      </c>
      <c r="F9" s="22" t="s">
        <v>44</v>
      </c>
      <c r="G9" s="10">
        <v>0.39583333333333331</v>
      </c>
      <c r="H9" s="10">
        <v>0.4375</v>
      </c>
      <c r="I9" s="11">
        <f t="shared" si="0"/>
        <v>4.1666666666666685E-2</v>
      </c>
      <c r="J9" s="12">
        <v>3</v>
      </c>
      <c r="K9" s="18">
        <v>62.9</v>
      </c>
      <c r="L9" s="13">
        <f t="shared" si="1"/>
        <v>20.966666666666658</v>
      </c>
      <c r="M9" s="12"/>
      <c r="N9" s="12"/>
      <c r="O9" s="12"/>
      <c r="P9" s="12"/>
      <c r="Q9" s="12"/>
      <c r="R9" s="14"/>
      <c r="S9" s="14">
        <v>60</v>
      </c>
      <c r="T9" s="12"/>
      <c r="U9" s="12"/>
      <c r="V9" s="14"/>
      <c r="W9" s="14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25.05" customHeight="1">
      <c r="B10" s="15"/>
      <c r="C10" s="16"/>
      <c r="D10" s="7"/>
      <c r="E10" s="20" t="s">
        <v>54</v>
      </c>
      <c r="F10" s="22" t="s">
        <v>44</v>
      </c>
      <c r="G10" s="10">
        <v>0.40277777777777779</v>
      </c>
      <c r="H10" s="10">
        <v>0.43055555555555558</v>
      </c>
      <c r="I10" s="11">
        <f t="shared" si="0"/>
        <v>2.777777777777779E-2</v>
      </c>
      <c r="J10" s="12">
        <v>1</v>
      </c>
      <c r="K10" s="18">
        <v>62.9</v>
      </c>
      <c r="L10" s="13">
        <f t="shared" si="1"/>
        <v>94.349999999999952</v>
      </c>
      <c r="M10" s="12"/>
      <c r="N10" s="12"/>
      <c r="O10" s="12">
        <v>40</v>
      </c>
      <c r="P10" s="12"/>
      <c r="Q10" s="12"/>
      <c r="R10" s="14"/>
      <c r="S10" s="14"/>
      <c r="T10" s="12"/>
      <c r="U10" s="12"/>
      <c r="V10" s="14"/>
      <c r="W10" s="14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ht="25.05" customHeight="1">
      <c r="B11" s="15"/>
      <c r="C11" s="16"/>
      <c r="D11" s="7"/>
      <c r="E11" s="20" t="s">
        <v>55</v>
      </c>
      <c r="F11" s="22" t="s">
        <v>56</v>
      </c>
      <c r="G11" s="10">
        <v>0.40277777777777779</v>
      </c>
      <c r="H11" s="10">
        <v>0.47222222222222221</v>
      </c>
      <c r="I11" s="11">
        <f t="shared" si="0"/>
        <v>6.944444444444442E-2</v>
      </c>
      <c r="J11" s="12">
        <v>4</v>
      </c>
      <c r="K11" s="18">
        <v>185</v>
      </c>
      <c r="L11" s="13">
        <f t="shared" si="1"/>
        <v>27.750000000000011</v>
      </c>
      <c r="M11" s="12"/>
      <c r="N11" s="12"/>
      <c r="O11" s="12">
        <v>100</v>
      </c>
      <c r="P11" s="12"/>
      <c r="Q11" s="12"/>
      <c r="R11" s="14"/>
      <c r="S11" s="14"/>
      <c r="T11" s="12"/>
      <c r="U11" s="12"/>
      <c r="V11" s="14"/>
      <c r="W11" s="14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ht="25.05" customHeight="1">
      <c r="B12" s="15"/>
      <c r="C12" s="16"/>
      <c r="D12" s="23" t="s">
        <v>57</v>
      </c>
      <c r="E12" s="7" t="s">
        <v>58</v>
      </c>
      <c r="F12" s="24" t="s">
        <v>59</v>
      </c>
      <c r="G12" s="10">
        <v>0.41666666666666669</v>
      </c>
      <c r="H12" s="10">
        <v>0.4236111111111111</v>
      </c>
      <c r="I12" s="11">
        <f t="shared" si="0"/>
        <v>6.9444444444444198E-3</v>
      </c>
      <c r="J12" s="12">
        <v>1</v>
      </c>
      <c r="K12" s="18">
        <v>12</v>
      </c>
      <c r="L12" s="13">
        <f t="shared" si="1"/>
        <v>72.000000000000256</v>
      </c>
      <c r="M12" s="12">
        <v>10</v>
      </c>
      <c r="N12" s="12"/>
      <c r="O12" s="12"/>
      <c r="P12" s="12"/>
      <c r="Q12" s="12"/>
      <c r="R12" s="14"/>
      <c r="S12" s="14"/>
      <c r="T12" s="12"/>
      <c r="U12" s="12"/>
      <c r="V12" s="14"/>
      <c r="W12" s="14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ht="25.05" customHeight="1">
      <c r="B13" s="15"/>
      <c r="C13" s="16"/>
      <c r="D13" s="7"/>
      <c r="E13" s="25" t="s">
        <v>60</v>
      </c>
      <c r="F13" s="26" t="s">
        <v>61</v>
      </c>
      <c r="G13" s="10">
        <v>0.42499999999999999</v>
      </c>
      <c r="H13" s="10">
        <v>0.4375</v>
      </c>
      <c r="I13" s="11">
        <f t="shared" si="0"/>
        <v>1.2500000000000011E-2</v>
      </c>
      <c r="J13" s="12">
        <v>1</v>
      </c>
      <c r="K13" s="18">
        <v>2.72</v>
      </c>
      <c r="L13" s="13">
        <f t="shared" si="1"/>
        <v>9.0666666666666593</v>
      </c>
      <c r="M13" s="12">
        <v>18</v>
      </c>
      <c r="N13" s="12"/>
      <c r="O13" s="12"/>
      <c r="P13" s="12"/>
      <c r="Q13" s="12"/>
      <c r="R13" s="14"/>
      <c r="S13" s="14"/>
      <c r="T13" s="12"/>
      <c r="U13" s="12"/>
      <c r="V13" s="14"/>
      <c r="W13" s="14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ht="25.05" customHeight="1">
      <c r="B14" s="15"/>
      <c r="C14" s="16"/>
      <c r="D14" s="7"/>
      <c r="E14" s="20" t="s">
        <v>62</v>
      </c>
      <c r="F14" s="22" t="s">
        <v>63</v>
      </c>
      <c r="G14" s="10">
        <v>0.41666666666666669</v>
      </c>
      <c r="H14" s="10">
        <v>0.43402777777777779</v>
      </c>
      <c r="I14" s="11">
        <f t="shared" si="0"/>
        <v>1.7361111111111105E-2</v>
      </c>
      <c r="J14" s="12">
        <v>1</v>
      </c>
      <c r="K14" s="18">
        <v>6</v>
      </c>
      <c r="L14" s="13">
        <f t="shared" si="1"/>
        <v>14.400000000000006</v>
      </c>
      <c r="M14" s="12"/>
      <c r="N14" s="12"/>
      <c r="O14" s="12"/>
      <c r="P14" s="12"/>
      <c r="Q14" s="12"/>
      <c r="R14" s="14">
        <v>25</v>
      </c>
      <c r="S14" s="14"/>
      <c r="T14" s="12"/>
      <c r="U14" s="12"/>
      <c r="V14" s="14"/>
      <c r="W14" s="14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ht="25.05" customHeight="1">
      <c r="B15" s="15"/>
      <c r="C15" s="16"/>
      <c r="D15" s="7" t="s">
        <v>45</v>
      </c>
      <c r="E15" s="20" t="s">
        <v>64</v>
      </c>
      <c r="F15" s="22" t="s">
        <v>63</v>
      </c>
      <c r="G15" s="10">
        <v>0.47569444444444442</v>
      </c>
      <c r="H15" s="10">
        <v>0.49652777777777779</v>
      </c>
      <c r="I15" s="11">
        <f t="shared" si="0"/>
        <v>2.083333333333337E-2</v>
      </c>
      <c r="J15" s="12">
        <v>6</v>
      </c>
      <c r="K15" s="18">
        <v>24.3</v>
      </c>
      <c r="L15" s="13">
        <f t="shared" si="1"/>
        <v>8.0999999999999854</v>
      </c>
      <c r="M15" s="12"/>
      <c r="N15" s="12"/>
      <c r="O15" s="12"/>
      <c r="P15" s="12"/>
      <c r="Q15" s="12"/>
      <c r="R15" s="14">
        <v>30</v>
      </c>
      <c r="S15" s="14"/>
      <c r="T15" s="12"/>
      <c r="U15" s="12"/>
      <c r="V15" s="14"/>
      <c r="W15" s="14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 ht="25.05" customHeight="1">
      <c r="B16" s="15"/>
      <c r="C16" s="16"/>
      <c r="D16" s="7" t="s">
        <v>65</v>
      </c>
      <c r="E16" s="20" t="s">
        <v>66</v>
      </c>
      <c r="F16" s="22" t="s">
        <v>44</v>
      </c>
      <c r="G16" s="10">
        <v>0.47916666666666669</v>
      </c>
      <c r="H16" s="10">
        <v>0.5</v>
      </c>
      <c r="I16" s="11">
        <f t="shared" si="0"/>
        <v>2.0833333333333315E-2</v>
      </c>
      <c r="J16" s="12">
        <v>1</v>
      </c>
      <c r="K16" s="12">
        <v>23.04</v>
      </c>
      <c r="L16" s="13">
        <f t="shared" si="1"/>
        <v>46.080000000000041</v>
      </c>
      <c r="M16" s="12">
        <v>30</v>
      </c>
      <c r="N16" s="12"/>
      <c r="O16" s="12"/>
      <c r="P16" s="12"/>
      <c r="Q16" s="12"/>
      <c r="R16" s="14"/>
      <c r="S16" s="14"/>
      <c r="T16" s="12"/>
      <c r="U16" s="12"/>
      <c r="V16" s="14"/>
      <c r="W16" s="14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 ht="25.05" customHeight="1">
      <c r="B17" s="15"/>
      <c r="C17" s="16"/>
      <c r="D17" s="7"/>
      <c r="E17" s="20" t="s">
        <v>67</v>
      </c>
      <c r="F17" s="22" t="s">
        <v>44</v>
      </c>
      <c r="G17" s="10">
        <v>0.5</v>
      </c>
      <c r="H17" s="10">
        <v>0.51388888888888884</v>
      </c>
      <c r="I17" s="11">
        <f t="shared" si="0"/>
        <v>1.388888888888884E-2</v>
      </c>
      <c r="J17" s="12">
        <v>10</v>
      </c>
      <c r="K17" s="12" t="s">
        <v>44</v>
      </c>
      <c r="L17" s="13" t="str">
        <f t="shared" si="1"/>
        <v>0</v>
      </c>
      <c r="M17" s="12"/>
      <c r="N17" s="12"/>
      <c r="O17" s="12"/>
      <c r="P17" s="12"/>
      <c r="Q17" s="12"/>
      <c r="R17" s="14"/>
      <c r="S17" s="14"/>
      <c r="T17" s="12"/>
      <c r="U17" s="12"/>
      <c r="V17" s="14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ht="25.05" customHeight="1">
      <c r="B18" s="15"/>
      <c r="C18" s="16"/>
      <c r="D18" s="7" t="s">
        <v>52</v>
      </c>
      <c r="E18" s="20" t="s">
        <v>68</v>
      </c>
      <c r="F18" s="22" t="s">
        <v>44</v>
      </c>
      <c r="G18" s="10">
        <v>0.51388888888888884</v>
      </c>
      <c r="H18" s="10">
        <v>0.5625</v>
      </c>
      <c r="I18" s="11">
        <f t="shared" si="0"/>
        <v>4.861111111111116E-2</v>
      </c>
      <c r="J18" s="12">
        <v>2</v>
      </c>
      <c r="K18" s="18">
        <v>323.2</v>
      </c>
      <c r="L18" s="13">
        <f t="shared" si="1"/>
        <v>138.51428571428556</v>
      </c>
      <c r="M18" s="12"/>
      <c r="N18" s="12"/>
      <c r="O18" s="12"/>
      <c r="P18" s="12"/>
      <c r="Q18" s="12"/>
      <c r="R18" s="14"/>
      <c r="S18" s="14"/>
      <c r="T18" s="12"/>
      <c r="U18" s="12"/>
      <c r="V18" s="14"/>
      <c r="W18" s="14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pans="1:39" ht="25.05" customHeight="1">
      <c r="B19" s="15"/>
      <c r="C19" s="16"/>
      <c r="D19" s="7" t="s">
        <v>45</v>
      </c>
      <c r="E19" s="17" t="s">
        <v>46</v>
      </c>
      <c r="F19" s="9" t="s">
        <v>47</v>
      </c>
      <c r="G19" s="10">
        <v>0.51388888888888884</v>
      </c>
      <c r="H19" s="10">
        <v>0.59722222222222221</v>
      </c>
      <c r="I19" s="11">
        <f t="shared" si="0"/>
        <v>8.333333333333337E-2</v>
      </c>
      <c r="J19" s="12">
        <v>6</v>
      </c>
      <c r="K19" s="18">
        <v>148</v>
      </c>
      <c r="L19" s="13">
        <f t="shared" si="1"/>
        <v>12.333333333333329</v>
      </c>
      <c r="M19" s="12"/>
      <c r="N19" s="12"/>
      <c r="O19" s="12">
        <v>120</v>
      </c>
      <c r="P19" s="12"/>
      <c r="Q19" s="12"/>
      <c r="R19" s="14"/>
      <c r="S19" s="14"/>
      <c r="T19" s="12"/>
      <c r="U19" s="12"/>
      <c r="V19" s="14"/>
      <c r="W19" s="14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 ht="25.05" customHeight="1">
      <c r="B20" s="15"/>
      <c r="C20" s="16"/>
      <c r="D20" s="7"/>
      <c r="E20" s="20" t="s">
        <v>51</v>
      </c>
      <c r="F20" s="22" t="s">
        <v>44</v>
      </c>
      <c r="G20" s="10">
        <v>0.52083333333333337</v>
      </c>
      <c r="H20" s="10">
        <v>0.53125</v>
      </c>
      <c r="I20" s="11">
        <f t="shared" si="0"/>
        <v>1.041666666666663E-2</v>
      </c>
      <c r="J20" s="12">
        <v>1</v>
      </c>
      <c r="K20" s="18">
        <v>66.959999999999994</v>
      </c>
      <c r="L20" s="13">
        <f t="shared" si="1"/>
        <v>267.84000000000094</v>
      </c>
      <c r="M20" s="12"/>
      <c r="N20" s="12"/>
      <c r="O20" s="12"/>
      <c r="P20" s="12"/>
      <c r="Q20" s="12"/>
      <c r="R20" s="14"/>
      <c r="S20" s="14"/>
      <c r="T20" s="12"/>
      <c r="U20" s="12"/>
      <c r="V20" s="14"/>
      <c r="W20" s="14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 ht="25.05" customHeight="1">
      <c r="B21" s="15"/>
      <c r="C21" s="16"/>
      <c r="D21" s="7"/>
      <c r="E21" s="20" t="s">
        <v>69</v>
      </c>
      <c r="F21" s="22" t="s">
        <v>44</v>
      </c>
      <c r="G21" s="10">
        <v>0.58333333333333337</v>
      </c>
      <c r="H21" s="10">
        <v>0.64583333333333337</v>
      </c>
      <c r="I21" s="11">
        <f t="shared" si="0"/>
        <v>6.25E-2</v>
      </c>
      <c r="J21" s="12">
        <v>7</v>
      </c>
      <c r="K21" s="18">
        <v>523</v>
      </c>
      <c r="L21" s="13">
        <f t="shared" si="1"/>
        <v>49.809523809523803</v>
      </c>
      <c r="M21" s="12"/>
      <c r="N21" s="12"/>
      <c r="O21" s="12"/>
      <c r="P21" s="12"/>
      <c r="Q21" s="12"/>
      <c r="R21" s="14"/>
      <c r="S21" s="14">
        <v>90</v>
      </c>
      <c r="T21" s="12"/>
      <c r="U21" s="12"/>
      <c r="V21" s="14"/>
      <c r="W21" s="14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pans="1:39" ht="25.05" customHeight="1">
      <c r="B22" s="15"/>
      <c r="C22" s="16"/>
      <c r="D22" s="7" t="s">
        <v>70</v>
      </c>
      <c r="E22" s="20" t="s">
        <v>55</v>
      </c>
      <c r="F22" s="22" t="s">
        <v>56</v>
      </c>
      <c r="G22" s="10">
        <v>0.59722222222222221</v>
      </c>
      <c r="H22" s="10">
        <v>0.6875</v>
      </c>
      <c r="I22" s="11">
        <f t="shared" si="0"/>
        <v>9.027777777777779E-2</v>
      </c>
      <c r="J22" s="12">
        <v>6</v>
      </c>
      <c r="K22" s="12">
        <v>314.39999999999998</v>
      </c>
      <c r="L22" s="13">
        <f t="shared" si="1"/>
        <v>24.18461538461538</v>
      </c>
      <c r="M22" s="12"/>
      <c r="N22" s="12"/>
      <c r="O22" s="12">
        <v>130</v>
      </c>
      <c r="P22" s="12"/>
      <c r="Q22" s="12"/>
      <c r="R22" s="14"/>
      <c r="S22" s="14"/>
      <c r="T22" s="12"/>
      <c r="U22" s="12"/>
      <c r="V22" s="14"/>
      <c r="W22" s="14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pans="1:39" ht="25.05" customHeight="1">
      <c r="B23" s="15"/>
      <c r="C23" s="16"/>
      <c r="D23" s="7"/>
      <c r="E23" s="20" t="s">
        <v>67</v>
      </c>
      <c r="F23" s="22" t="s">
        <v>44</v>
      </c>
      <c r="G23" s="10">
        <v>0.6875</v>
      </c>
      <c r="H23" s="10">
        <v>0.70833333333333337</v>
      </c>
      <c r="I23" s="11">
        <f t="shared" si="0"/>
        <v>2.083333333333337E-2</v>
      </c>
      <c r="J23" s="12">
        <v>8</v>
      </c>
      <c r="K23" s="12" t="s">
        <v>44</v>
      </c>
      <c r="L23" s="13" t="str">
        <f t="shared" si="1"/>
        <v>0</v>
      </c>
      <c r="M23" s="12"/>
      <c r="N23" s="12"/>
      <c r="O23" s="12"/>
      <c r="P23" s="12"/>
      <c r="Q23" s="12"/>
      <c r="R23" s="14"/>
      <c r="S23" s="14"/>
      <c r="T23" s="12"/>
      <c r="U23" s="12"/>
      <c r="V23" s="14"/>
      <c r="W23" s="14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pans="1:39" ht="25.5" customHeight="1">
      <c r="B24" s="15"/>
      <c r="C24" s="16"/>
      <c r="D24" s="23"/>
      <c r="E24" s="20"/>
      <c r="F24" s="22"/>
      <c r="G24" s="10"/>
      <c r="H24" s="10"/>
      <c r="I24" s="11">
        <f t="shared" si="0"/>
        <v>0</v>
      </c>
      <c r="J24" s="12"/>
      <c r="K24" s="12"/>
      <c r="L24" s="13" t="str">
        <f t="shared" si="1"/>
        <v>0</v>
      </c>
      <c r="M24" s="12"/>
      <c r="N24" s="12"/>
      <c r="O24" s="12"/>
      <c r="P24" s="12"/>
      <c r="Q24" s="12"/>
      <c r="R24" s="14"/>
      <c r="S24" s="14"/>
      <c r="T24" s="12"/>
      <c r="U24" s="12"/>
      <c r="V24" s="14"/>
      <c r="W24" s="14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39" s="34" customFormat="1" ht="25.05" customHeight="1">
      <c r="A25" s="1"/>
      <c r="B25" s="27"/>
      <c r="C25" s="28"/>
      <c r="D25" s="29"/>
      <c r="E25" s="30"/>
      <c r="F25" s="30"/>
      <c r="G25" s="31"/>
      <c r="H25" s="31"/>
      <c r="I25" s="32"/>
      <c r="J25" s="18"/>
      <c r="K25" s="18">
        <f t="shared" ref="K25:AD25" si="2">SUM(K4:K24)</f>
        <v>2157.7199999999998</v>
      </c>
      <c r="L25" s="33">
        <f t="shared" si="2"/>
        <v>1094.5723534798549</v>
      </c>
      <c r="M25" s="18">
        <f t="shared" si="2"/>
        <v>58</v>
      </c>
      <c r="N25" s="18">
        <f t="shared" si="2"/>
        <v>0</v>
      </c>
      <c r="O25" s="18">
        <f t="shared" si="2"/>
        <v>520</v>
      </c>
      <c r="P25" s="18">
        <f t="shared" si="2"/>
        <v>0</v>
      </c>
      <c r="Q25" s="18">
        <f t="shared" si="2"/>
        <v>0</v>
      </c>
      <c r="R25" s="18">
        <f t="shared" si="2"/>
        <v>55</v>
      </c>
      <c r="S25" s="18">
        <f t="shared" si="2"/>
        <v>290</v>
      </c>
      <c r="T25" s="18">
        <f t="shared" si="2"/>
        <v>0</v>
      </c>
      <c r="U25" s="18">
        <f t="shared" si="2"/>
        <v>0</v>
      </c>
      <c r="V25" s="18">
        <f t="shared" si="2"/>
        <v>0</v>
      </c>
      <c r="W25" s="18">
        <f t="shared" si="2"/>
        <v>0</v>
      </c>
      <c r="X25" s="18">
        <f t="shared" si="2"/>
        <v>0</v>
      </c>
      <c r="Y25" s="18">
        <f t="shared" si="2"/>
        <v>0</v>
      </c>
      <c r="Z25" s="18">
        <f t="shared" si="2"/>
        <v>0</v>
      </c>
      <c r="AA25" s="18">
        <f t="shared" si="2"/>
        <v>0</v>
      </c>
      <c r="AB25" s="18">
        <f t="shared" si="2"/>
        <v>0</v>
      </c>
      <c r="AC25" s="18">
        <f t="shared" si="2"/>
        <v>0</v>
      </c>
      <c r="AD25" s="18">
        <f t="shared" si="2"/>
        <v>0</v>
      </c>
      <c r="AE25" s="18"/>
      <c r="AF25" s="18">
        <f t="shared" ref="AF25:AM25" si="3">SUM(AF4:AF24)</f>
        <v>0</v>
      </c>
      <c r="AG25" s="18">
        <f t="shared" si="3"/>
        <v>0</v>
      </c>
      <c r="AH25" s="18">
        <f t="shared" si="3"/>
        <v>0</v>
      </c>
      <c r="AI25" s="18">
        <f t="shared" si="3"/>
        <v>0</v>
      </c>
      <c r="AJ25" s="18">
        <f t="shared" si="3"/>
        <v>0</v>
      </c>
      <c r="AK25" s="18">
        <f t="shared" si="3"/>
        <v>0</v>
      </c>
      <c r="AL25" s="18">
        <f t="shared" si="3"/>
        <v>0</v>
      </c>
      <c r="AM25" s="18">
        <f t="shared" si="3"/>
        <v>0</v>
      </c>
    </row>
    <row r="26" spans="1:39" ht="25.05" customHeight="1">
      <c r="B26" s="5" t="s">
        <v>41</v>
      </c>
      <c r="C26" s="16" t="s">
        <v>71</v>
      </c>
      <c r="D26" s="7"/>
      <c r="E26" s="8" t="s">
        <v>43</v>
      </c>
      <c r="F26" s="9" t="s">
        <v>44</v>
      </c>
      <c r="G26" s="10">
        <v>0.29166666666666669</v>
      </c>
      <c r="H26" s="10">
        <v>0.33333333333333331</v>
      </c>
      <c r="I26" s="11">
        <f>H26-G26</f>
        <v>4.166666666666663E-2</v>
      </c>
      <c r="J26" s="12">
        <v>2</v>
      </c>
      <c r="K26" s="12">
        <v>0</v>
      </c>
      <c r="L26" s="13">
        <f>IFERROR(((K26/(J26*I26)/24)),"0")</f>
        <v>0</v>
      </c>
      <c r="M26" s="12"/>
      <c r="N26" s="12"/>
      <c r="O26" s="12"/>
      <c r="P26" s="12"/>
      <c r="Q26" s="12"/>
      <c r="R26" s="14"/>
      <c r="S26" s="14"/>
      <c r="T26" s="12"/>
      <c r="U26" s="12"/>
      <c r="V26" s="14"/>
      <c r="W26" s="14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pans="1:39" ht="25.05" customHeight="1">
      <c r="B27" s="15"/>
      <c r="C27" s="16"/>
      <c r="D27" s="7" t="s">
        <v>65</v>
      </c>
      <c r="E27" s="8" t="s">
        <v>72</v>
      </c>
      <c r="F27" s="9" t="s">
        <v>44</v>
      </c>
      <c r="G27" s="10">
        <v>0.33333333333333331</v>
      </c>
      <c r="H27" s="10">
        <v>0.41666666666666669</v>
      </c>
      <c r="I27" s="11">
        <f t="shared" ref="I27:I31" si="4">H27-G27</f>
        <v>8.333333333333337E-2</v>
      </c>
      <c r="J27" s="12">
        <v>12</v>
      </c>
      <c r="K27" s="12">
        <f>92*4</f>
        <v>368</v>
      </c>
      <c r="L27" s="13">
        <f t="shared" ref="L27:L31" si="5">IFERROR(((K27/(J27*I27)/24)),"0")</f>
        <v>15.333333333333327</v>
      </c>
      <c r="M27" s="12"/>
      <c r="N27" s="12"/>
      <c r="O27" s="12"/>
      <c r="P27" s="12"/>
      <c r="Q27" s="12"/>
      <c r="R27" s="14"/>
      <c r="S27" s="14"/>
      <c r="T27" s="12">
        <v>120</v>
      </c>
      <c r="U27" s="12"/>
      <c r="V27" s="14"/>
      <c r="W27" s="14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pans="1:39" ht="25.05" customHeight="1">
      <c r="B28" s="15"/>
      <c r="C28" s="16"/>
      <c r="D28" s="7" t="s">
        <v>70</v>
      </c>
      <c r="E28" s="8" t="s">
        <v>73</v>
      </c>
      <c r="F28" s="9"/>
      <c r="G28" s="10">
        <v>0.41666666666666669</v>
      </c>
      <c r="H28" s="10">
        <v>0.5</v>
      </c>
      <c r="I28" s="11">
        <f t="shared" si="4"/>
        <v>8.3333333333333315E-2</v>
      </c>
      <c r="J28" s="12">
        <v>12</v>
      </c>
      <c r="K28" s="12">
        <f>105*2</f>
        <v>210</v>
      </c>
      <c r="L28" s="13">
        <f t="shared" si="5"/>
        <v>8.7500000000000018</v>
      </c>
      <c r="M28" s="12"/>
      <c r="N28" s="12"/>
      <c r="O28" s="12"/>
      <c r="P28" s="12"/>
      <c r="Q28" s="12"/>
      <c r="R28" s="14"/>
      <c r="S28" s="14">
        <v>120</v>
      </c>
      <c r="T28" s="12"/>
      <c r="U28" s="12"/>
      <c r="V28" s="14"/>
      <c r="W28" s="14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pans="1:39" ht="25.05" customHeight="1">
      <c r="B29" s="15"/>
      <c r="C29" s="16"/>
      <c r="D29" s="23"/>
      <c r="E29" s="20" t="s">
        <v>74</v>
      </c>
      <c r="F29" s="9" t="s">
        <v>44</v>
      </c>
      <c r="G29" s="10">
        <v>0.5</v>
      </c>
      <c r="H29" s="10">
        <v>0.54166666666666663</v>
      </c>
      <c r="I29" s="11">
        <f t="shared" si="4"/>
        <v>4.166666666666663E-2</v>
      </c>
      <c r="J29" s="12">
        <v>12</v>
      </c>
      <c r="K29" s="12" t="s">
        <v>44</v>
      </c>
      <c r="L29" s="13" t="str">
        <f t="shared" si="5"/>
        <v>0</v>
      </c>
      <c r="M29" s="12"/>
      <c r="N29" s="12"/>
      <c r="O29" s="12"/>
      <c r="P29" s="12"/>
      <c r="Q29" s="12"/>
      <c r="R29" s="14"/>
      <c r="S29" s="14"/>
      <c r="T29" s="12"/>
      <c r="U29" s="12"/>
      <c r="V29" s="14"/>
      <c r="W29" s="14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</row>
    <row r="30" spans="1:39" ht="25.05" customHeight="1">
      <c r="B30" s="15"/>
      <c r="C30" s="16"/>
      <c r="D30" s="7" t="s">
        <v>70</v>
      </c>
      <c r="E30" s="8" t="s">
        <v>75</v>
      </c>
      <c r="F30" s="9" t="s">
        <v>44</v>
      </c>
      <c r="G30" s="10">
        <v>0.54166666666666663</v>
      </c>
      <c r="H30" s="10">
        <v>0.70833333333333337</v>
      </c>
      <c r="I30" s="11">
        <f t="shared" si="4"/>
        <v>0.16666666666666674</v>
      </c>
      <c r="J30" s="12">
        <v>12</v>
      </c>
      <c r="K30" s="12">
        <f>105*4</f>
        <v>420</v>
      </c>
      <c r="L30" s="13">
        <f t="shared" si="5"/>
        <v>8.7499999999999964</v>
      </c>
      <c r="M30" s="12"/>
      <c r="N30" s="12"/>
      <c r="O30" s="12"/>
      <c r="P30" s="12"/>
      <c r="Q30" s="12"/>
      <c r="R30" s="14"/>
      <c r="S30" s="14">
        <v>240</v>
      </c>
      <c r="T30" s="12"/>
      <c r="U30" s="12"/>
      <c r="V30" s="14"/>
      <c r="W30" s="14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</row>
    <row r="31" spans="1:39" ht="25.05" customHeight="1">
      <c r="B31" s="15"/>
      <c r="C31" s="16"/>
      <c r="D31" s="23"/>
      <c r="E31" s="20" t="s">
        <v>67</v>
      </c>
      <c r="F31" s="9" t="s">
        <v>44</v>
      </c>
      <c r="G31" s="10">
        <v>0.70833333333333337</v>
      </c>
      <c r="H31" s="10">
        <v>0.72916666666666663</v>
      </c>
      <c r="I31" s="11">
        <f t="shared" si="4"/>
        <v>2.0833333333333259E-2</v>
      </c>
      <c r="J31" s="12">
        <v>12</v>
      </c>
      <c r="K31" s="12" t="s">
        <v>44</v>
      </c>
      <c r="L31" s="13" t="str">
        <f t="shared" si="5"/>
        <v>0</v>
      </c>
      <c r="M31" s="12"/>
      <c r="N31" s="12"/>
      <c r="O31" s="12"/>
      <c r="P31" s="12"/>
      <c r="Q31" s="12"/>
      <c r="R31" s="14"/>
      <c r="S31" s="14"/>
      <c r="T31" s="12"/>
      <c r="U31" s="12"/>
      <c r="V31" s="14"/>
      <c r="W31" s="14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</row>
    <row r="32" spans="1:39" s="34" customFormat="1" ht="25.05" customHeight="1">
      <c r="A32" s="1"/>
      <c r="B32" s="27"/>
      <c r="C32" s="28"/>
      <c r="D32" s="29"/>
      <c r="E32" s="30"/>
      <c r="F32" s="28"/>
      <c r="G32" s="31"/>
      <c r="H32" s="31"/>
      <c r="I32" s="32"/>
      <c r="J32" s="18"/>
      <c r="K32" s="18">
        <f t="shared" ref="K32:AD32" si="6">SUM(K26:K31)</f>
        <v>998</v>
      </c>
      <c r="L32" s="18">
        <f t="shared" si="6"/>
        <v>32.833333333333329</v>
      </c>
      <c r="M32" s="18">
        <f t="shared" si="6"/>
        <v>0</v>
      </c>
      <c r="N32" s="18">
        <f t="shared" si="6"/>
        <v>0</v>
      </c>
      <c r="O32" s="18">
        <f t="shared" si="6"/>
        <v>0</v>
      </c>
      <c r="P32" s="18">
        <f t="shared" si="6"/>
        <v>0</v>
      </c>
      <c r="Q32" s="18">
        <f t="shared" si="6"/>
        <v>0</v>
      </c>
      <c r="R32" s="18">
        <f t="shared" si="6"/>
        <v>0</v>
      </c>
      <c r="S32" s="18">
        <f t="shared" si="6"/>
        <v>360</v>
      </c>
      <c r="T32" s="18">
        <f t="shared" si="6"/>
        <v>120</v>
      </c>
      <c r="U32" s="18">
        <f t="shared" si="6"/>
        <v>0</v>
      </c>
      <c r="V32" s="18">
        <f t="shared" si="6"/>
        <v>0</v>
      </c>
      <c r="W32" s="18">
        <f t="shared" si="6"/>
        <v>0</v>
      </c>
      <c r="X32" s="18">
        <f t="shared" si="6"/>
        <v>0</v>
      </c>
      <c r="Y32" s="18">
        <f t="shared" si="6"/>
        <v>0</v>
      </c>
      <c r="Z32" s="18">
        <f t="shared" si="6"/>
        <v>0</v>
      </c>
      <c r="AA32" s="18">
        <f t="shared" si="6"/>
        <v>0</v>
      </c>
      <c r="AB32" s="18">
        <f t="shared" si="6"/>
        <v>0</v>
      </c>
      <c r="AC32" s="18">
        <f t="shared" si="6"/>
        <v>0</v>
      </c>
      <c r="AD32" s="18">
        <f t="shared" si="6"/>
        <v>0</v>
      </c>
      <c r="AE32" s="18"/>
      <c r="AF32" s="18">
        <f t="shared" ref="AF32:AM32" si="7">SUM(AF26:AF31)</f>
        <v>0</v>
      </c>
      <c r="AG32" s="18">
        <f t="shared" si="7"/>
        <v>0</v>
      </c>
      <c r="AH32" s="18">
        <f t="shared" si="7"/>
        <v>0</v>
      </c>
      <c r="AI32" s="18">
        <f t="shared" si="7"/>
        <v>0</v>
      </c>
      <c r="AJ32" s="18">
        <f t="shared" si="7"/>
        <v>0</v>
      </c>
      <c r="AK32" s="18">
        <f t="shared" si="7"/>
        <v>0</v>
      </c>
      <c r="AL32" s="18">
        <f t="shared" si="7"/>
        <v>0</v>
      </c>
      <c r="AM32" s="18">
        <f t="shared" si="7"/>
        <v>0</v>
      </c>
    </row>
    <row r="33" spans="2:39" ht="25.05" customHeight="1">
      <c r="B33" s="5" t="s">
        <v>41</v>
      </c>
      <c r="C33" s="35" t="s">
        <v>76</v>
      </c>
      <c r="D33" s="23"/>
      <c r="E33" s="8" t="s">
        <v>43</v>
      </c>
      <c r="F33" s="9" t="s">
        <v>44</v>
      </c>
      <c r="G33" s="10">
        <v>0.29166666666666669</v>
      </c>
      <c r="H33" s="10">
        <v>0.33333333333333331</v>
      </c>
      <c r="I33" s="11">
        <f t="shared" ref="I33:I96" si="8">H33-G33</f>
        <v>4.166666666666663E-2</v>
      </c>
      <c r="J33" s="12">
        <v>5</v>
      </c>
      <c r="K33" s="12">
        <v>0</v>
      </c>
      <c r="L33" s="13">
        <f t="shared" ref="L33:L96" si="9">IFERROR(((K33/(J33*I33)/24)),"0")</f>
        <v>0</v>
      </c>
      <c r="M33" s="12"/>
      <c r="N33" s="12"/>
      <c r="O33" s="12"/>
      <c r="P33" s="12"/>
      <c r="Q33" s="12"/>
      <c r="R33" s="14"/>
      <c r="S33" s="14"/>
      <c r="T33" s="12"/>
      <c r="U33" s="12"/>
      <c r="V33" s="14"/>
      <c r="W33" s="14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6"/>
    </row>
    <row r="34" spans="2:39" ht="25.05" customHeight="1">
      <c r="B34" s="15"/>
      <c r="C34" s="35"/>
      <c r="D34" s="23" t="s">
        <v>77</v>
      </c>
      <c r="E34" s="19" t="s">
        <v>78</v>
      </c>
      <c r="F34" s="9" t="s">
        <v>44</v>
      </c>
      <c r="G34" s="10">
        <v>0.33124999999999999</v>
      </c>
      <c r="H34" s="10">
        <v>0.33130787037037035</v>
      </c>
      <c r="I34" s="11">
        <f t="shared" si="8"/>
        <v>5.7870370370360913E-5</v>
      </c>
      <c r="J34" s="12">
        <v>3</v>
      </c>
      <c r="K34" s="12">
        <v>1.78</v>
      </c>
      <c r="L34" s="13">
        <f t="shared" si="9"/>
        <v>427.20000000006985</v>
      </c>
      <c r="M34" s="12"/>
      <c r="N34" s="12"/>
      <c r="O34" s="12"/>
      <c r="P34" s="12"/>
      <c r="Q34" s="12"/>
      <c r="R34" s="14"/>
      <c r="S34" s="14"/>
      <c r="T34" s="12"/>
      <c r="U34" s="12"/>
      <c r="V34" s="14">
        <v>2</v>
      </c>
      <c r="W34" s="14"/>
      <c r="X34" s="12"/>
      <c r="Y34" s="12"/>
      <c r="Z34" s="12"/>
      <c r="AA34" s="12"/>
      <c r="AB34" s="12"/>
      <c r="AC34" s="12">
        <v>1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6"/>
    </row>
    <row r="35" spans="2:39" ht="25.05" customHeight="1">
      <c r="B35" s="15"/>
      <c r="C35" s="35"/>
      <c r="D35" s="23"/>
      <c r="E35" s="19" t="s">
        <v>79</v>
      </c>
      <c r="F35" s="9" t="s">
        <v>44</v>
      </c>
      <c r="G35" s="10">
        <v>0.33194444444444443</v>
      </c>
      <c r="H35" s="10">
        <v>0.33200231481481479</v>
      </c>
      <c r="I35" s="11">
        <f t="shared" si="8"/>
        <v>5.7870370370360913E-5</v>
      </c>
      <c r="J35" s="12">
        <v>3</v>
      </c>
      <c r="K35" s="12">
        <v>1.78</v>
      </c>
      <c r="L35" s="13">
        <f t="shared" si="9"/>
        <v>427.20000000006985</v>
      </c>
      <c r="M35" s="12"/>
      <c r="N35" s="12"/>
      <c r="O35" s="12"/>
      <c r="P35" s="12"/>
      <c r="Q35" s="12"/>
      <c r="R35" s="14"/>
      <c r="S35" s="14"/>
      <c r="T35" s="12"/>
      <c r="U35" s="12"/>
      <c r="V35" s="14">
        <v>2</v>
      </c>
      <c r="W35" s="14"/>
      <c r="X35" s="12"/>
      <c r="Y35" s="12"/>
      <c r="Z35" s="12"/>
      <c r="AA35" s="12"/>
      <c r="AB35" s="12"/>
      <c r="AC35" s="12">
        <v>1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6"/>
    </row>
    <row r="36" spans="2:39" ht="24.75" customHeight="1">
      <c r="B36" s="15"/>
      <c r="C36" s="35"/>
      <c r="D36" s="23"/>
      <c r="E36" s="19" t="s">
        <v>80</v>
      </c>
      <c r="F36" s="9" t="s">
        <v>44</v>
      </c>
      <c r="G36" s="10">
        <v>0.33194444444444443</v>
      </c>
      <c r="H36" s="10">
        <v>0.33200231481481479</v>
      </c>
      <c r="I36" s="11">
        <f t="shared" si="8"/>
        <v>5.7870370370360913E-5</v>
      </c>
      <c r="J36" s="12">
        <v>3</v>
      </c>
      <c r="K36" s="12">
        <v>1.8</v>
      </c>
      <c r="L36" s="13">
        <f t="shared" si="9"/>
        <v>432.00000000007066</v>
      </c>
      <c r="M36" s="12"/>
      <c r="N36" s="12"/>
      <c r="O36" s="12"/>
      <c r="P36" s="12"/>
      <c r="Q36" s="12"/>
      <c r="R36" s="14"/>
      <c r="S36" s="14"/>
      <c r="T36" s="12"/>
      <c r="U36" s="12"/>
      <c r="V36" s="14">
        <v>2</v>
      </c>
      <c r="W36" s="14"/>
      <c r="X36" s="12"/>
      <c r="Y36" s="12"/>
      <c r="Z36" s="12"/>
      <c r="AA36" s="12"/>
      <c r="AB36" s="12"/>
      <c r="AC36" s="12">
        <v>1</v>
      </c>
      <c r="AD36" s="12"/>
      <c r="AE36" s="12"/>
      <c r="AF36" s="12"/>
      <c r="AG36" s="12"/>
      <c r="AH36" s="12"/>
      <c r="AI36" s="12"/>
      <c r="AJ36" s="12"/>
      <c r="AK36" s="12"/>
      <c r="AL36" s="12"/>
      <c r="AM36" s="16"/>
    </row>
    <row r="37" spans="2:39" ht="25.05" customHeight="1">
      <c r="B37" s="15"/>
      <c r="C37" s="35"/>
      <c r="D37" s="23"/>
      <c r="E37" s="19" t="s">
        <v>81</v>
      </c>
      <c r="F37" s="9" t="s">
        <v>44</v>
      </c>
      <c r="G37" s="10">
        <v>0.33263888888888887</v>
      </c>
      <c r="H37" s="10">
        <v>0.33269675925925923</v>
      </c>
      <c r="I37" s="11">
        <f t="shared" si="8"/>
        <v>5.7870370370360913E-5</v>
      </c>
      <c r="J37" s="12">
        <v>3</v>
      </c>
      <c r="K37" s="12">
        <v>1.79</v>
      </c>
      <c r="L37" s="13">
        <f t="shared" si="9"/>
        <v>429.60000000007022</v>
      </c>
      <c r="M37" s="12"/>
      <c r="N37" s="12"/>
      <c r="O37" s="12"/>
      <c r="P37" s="12"/>
      <c r="Q37" s="12"/>
      <c r="R37" s="14"/>
      <c r="S37" s="14"/>
      <c r="T37" s="12"/>
      <c r="U37" s="12"/>
      <c r="V37" s="14">
        <v>2</v>
      </c>
      <c r="W37" s="14"/>
      <c r="X37" s="12"/>
      <c r="Y37" s="12"/>
      <c r="Z37" s="12"/>
      <c r="AA37" s="12"/>
      <c r="AB37" s="12"/>
      <c r="AC37" s="12">
        <v>1</v>
      </c>
      <c r="AD37" s="12"/>
      <c r="AE37" s="12"/>
      <c r="AF37" s="12"/>
      <c r="AG37" s="12"/>
      <c r="AH37" s="12"/>
      <c r="AI37" s="12"/>
      <c r="AJ37" s="12"/>
      <c r="AK37" s="12"/>
      <c r="AL37" s="12"/>
      <c r="AM37" s="16"/>
    </row>
    <row r="38" spans="2:39" ht="25.05" customHeight="1">
      <c r="B38" s="15"/>
      <c r="C38" s="35"/>
      <c r="D38" s="23"/>
      <c r="E38" s="19" t="s">
        <v>82</v>
      </c>
      <c r="F38" s="9" t="s">
        <v>44</v>
      </c>
      <c r="G38" s="10">
        <v>0.33263888888888887</v>
      </c>
      <c r="H38" s="10">
        <v>0.33269675925925923</v>
      </c>
      <c r="I38" s="11">
        <f t="shared" si="8"/>
        <v>5.7870370370360913E-5</v>
      </c>
      <c r="J38" s="12">
        <v>3</v>
      </c>
      <c r="K38" s="12">
        <v>1.78</v>
      </c>
      <c r="L38" s="13">
        <f t="shared" si="9"/>
        <v>427.20000000006985</v>
      </c>
      <c r="M38" s="12"/>
      <c r="N38" s="12"/>
      <c r="O38" s="12"/>
      <c r="P38" s="12"/>
      <c r="Q38" s="12"/>
      <c r="R38" s="14"/>
      <c r="S38" s="14"/>
      <c r="T38" s="12"/>
      <c r="U38" s="12"/>
      <c r="V38" s="14">
        <v>2</v>
      </c>
      <c r="W38" s="14"/>
      <c r="X38" s="12"/>
      <c r="Y38" s="12"/>
      <c r="Z38" s="12"/>
      <c r="AA38" s="12"/>
      <c r="AB38" s="12"/>
      <c r="AC38" s="12">
        <v>1</v>
      </c>
      <c r="AD38" s="12"/>
      <c r="AE38" s="12"/>
      <c r="AF38" s="12"/>
      <c r="AG38" s="12"/>
      <c r="AH38" s="12"/>
      <c r="AI38" s="12"/>
      <c r="AJ38" s="12"/>
      <c r="AK38" s="12"/>
      <c r="AL38" s="12"/>
      <c r="AM38" s="16"/>
    </row>
    <row r="39" spans="2:39" ht="25.05" customHeight="1">
      <c r="B39" s="15"/>
      <c r="C39" s="35"/>
      <c r="D39" s="23"/>
      <c r="E39" s="19" t="s">
        <v>83</v>
      </c>
      <c r="F39" s="9" t="s">
        <v>44</v>
      </c>
      <c r="G39" s="10">
        <v>0.33333333333333331</v>
      </c>
      <c r="H39" s="10">
        <v>0.33339120370370373</v>
      </c>
      <c r="I39" s="11">
        <f t="shared" si="8"/>
        <v>5.7870370370416424E-5</v>
      </c>
      <c r="J39" s="12">
        <v>3</v>
      </c>
      <c r="K39" s="12">
        <v>1.8</v>
      </c>
      <c r="L39" s="13">
        <f t="shared" si="9"/>
        <v>431.99999999965621</v>
      </c>
      <c r="M39" s="12"/>
      <c r="N39" s="12"/>
      <c r="O39" s="12"/>
      <c r="P39" s="12"/>
      <c r="Q39" s="12"/>
      <c r="R39" s="14"/>
      <c r="S39" s="14"/>
      <c r="T39" s="12"/>
      <c r="U39" s="12"/>
      <c r="V39" s="14">
        <v>2</v>
      </c>
      <c r="W39" s="14"/>
      <c r="X39" s="12"/>
      <c r="Y39" s="12"/>
      <c r="Z39" s="12"/>
      <c r="AA39" s="12"/>
      <c r="AB39" s="12"/>
      <c r="AC39" s="12">
        <v>1</v>
      </c>
      <c r="AD39" s="12"/>
      <c r="AE39" s="12"/>
      <c r="AF39" s="12"/>
      <c r="AG39" s="12"/>
      <c r="AH39" s="12"/>
      <c r="AI39" s="12"/>
      <c r="AJ39" s="12"/>
      <c r="AK39" s="12"/>
      <c r="AL39" s="12"/>
      <c r="AM39" s="16"/>
    </row>
    <row r="40" spans="2:39" ht="25.05" customHeight="1">
      <c r="B40" s="15"/>
      <c r="C40" s="35"/>
      <c r="D40" s="23"/>
      <c r="E40" s="19" t="s">
        <v>84</v>
      </c>
      <c r="F40" s="9" t="s">
        <v>44</v>
      </c>
      <c r="G40" s="10">
        <v>0.33333333333333331</v>
      </c>
      <c r="H40" s="10">
        <v>0.33339120370370373</v>
      </c>
      <c r="I40" s="11">
        <f t="shared" si="8"/>
        <v>5.7870370370416424E-5</v>
      </c>
      <c r="J40" s="12">
        <v>3</v>
      </c>
      <c r="K40" s="12">
        <v>1.79</v>
      </c>
      <c r="L40" s="13">
        <f t="shared" si="9"/>
        <v>429.59999999965817</v>
      </c>
      <c r="M40" s="12"/>
      <c r="N40" s="12"/>
      <c r="O40" s="12"/>
      <c r="P40" s="12"/>
      <c r="Q40" s="12"/>
      <c r="R40" s="14"/>
      <c r="S40" s="14"/>
      <c r="T40" s="12"/>
      <c r="U40" s="12"/>
      <c r="V40" s="14">
        <v>2</v>
      </c>
      <c r="W40" s="14"/>
      <c r="X40" s="12"/>
      <c r="Y40" s="12"/>
      <c r="Z40" s="12"/>
      <c r="AA40" s="12"/>
      <c r="AB40" s="12"/>
      <c r="AC40" s="12">
        <v>1</v>
      </c>
      <c r="AD40" s="12"/>
      <c r="AE40" s="12"/>
      <c r="AF40" s="12"/>
      <c r="AG40" s="12"/>
      <c r="AH40" s="12"/>
      <c r="AI40" s="12"/>
      <c r="AJ40" s="12"/>
      <c r="AK40" s="12"/>
      <c r="AL40" s="12"/>
      <c r="AM40" s="16"/>
    </row>
    <row r="41" spans="2:39" ht="25.05" customHeight="1">
      <c r="B41" s="15"/>
      <c r="C41" s="35"/>
      <c r="D41" s="23"/>
      <c r="E41" s="19" t="s">
        <v>85</v>
      </c>
      <c r="F41" s="9" t="s">
        <v>44</v>
      </c>
      <c r="G41" s="10">
        <v>0.33402777777777776</v>
      </c>
      <c r="H41" s="10">
        <v>0.33408564814814817</v>
      </c>
      <c r="I41" s="11">
        <f t="shared" si="8"/>
        <v>5.7870370370416424E-5</v>
      </c>
      <c r="J41" s="12">
        <v>3</v>
      </c>
      <c r="K41" s="12">
        <v>1.82</v>
      </c>
      <c r="L41" s="13">
        <f t="shared" si="9"/>
        <v>436.79999999965236</v>
      </c>
      <c r="M41" s="12"/>
      <c r="N41" s="12"/>
      <c r="O41" s="12"/>
      <c r="P41" s="12"/>
      <c r="Q41" s="12"/>
      <c r="R41" s="14"/>
      <c r="S41" s="14"/>
      <c r="T41" s="12"/>
      <c r="U41" s="12"/>
      <c r="V41" s="14">
        <v>2</v>
      </c>
      <c r="W41" s="14"/>
      <c r="X41" s="12"/>
      <c r="Y41" s="12"/>
      <c r="Z41" s="12"/>
      <c r="AA41" s="12"/>
      <c r="AB41" s="12"/>
      <c r="AC41" s="12">
        <v>1</v>
      </c>
      <c r="AD41" s="12"/>
      <c r="AE41" s="12"/>
      <c r="AF41" s="12"/>
      <c r="AG41" s="12"/>
      <c r="AH41" s="12"/>
      <c r="AI41" s="12"/>
      <c r="AJ41" s="12"/>
      <c r="AK41" s="12"/>
      <c r="AL41" s="12"/>
      <c r="AM41" s="16"/>
    </row>
    <row r="42" spans="2:39" ht="25.05" customHeight="1">
      <c r="B42" s="15"/>
      <c r="C42" s="35"/>
      <c r="D42" s="23"/>
      <c r="E42" s="19" t="s">
        <v>86</v>
      </c>
      <c r="F42" s="9" t="s">
        <v>44</v>
      </c>
      <c r="G42" s="10">
        <v>0.33402777777777776</v>
      </c>
      <c r="H42" s="10">
        <v>0.33408564814814817</v>
      </c>
      <c r="I42" s="11">
        <f t="shared" si="8"/>
        <v>5.7870370370416424E-5</v>
      </c>
      <c r="J42" s="12">
        <v>3</v>
      </c>
      <c r="K42" s="12">
        <v>0.89</v>
      </c>
      <c r="L42" s="13">
        <f t="shared" si="9"/>
        <v>213.59999999983003</v>
      </c>
      <c r="M42" s="12"/>
      <c r="N42" s="12"/>
      <c r="O42" s="12"/>
      <c r="P42" s="12"/>
      <c r="Q42" s="12"/>
      <c r="R42" s="14"/>
      <c r="S42" s="14"/>
      <c r="T42" s="12"/>
      <c r="U42" s="12"/>
      <c r="V42" s="14">
        <v>2</v>
      </c>
      <c r="W42" s="14"/>
      <c r="X42" s="12"/>
      <c r="Y42" s="12"/>
      <c r="Z42" s="12"/>
      <c r="AA42" s="12"/>
      <c r="AB42" s="12"/>
      <c r="AC42" s="12">
        <v>1</v>
      </c>
      <c r="AD42" s="12"/>
      <c r="AE42" s="12"/>
      <c r="AF42" s="12"/>
      <c r="AG42" s="12"/>
      <c r="AH42" s="12"/>
      <c r="AI42" s="12"/>
      <c r="AJ42" s="12"/>
      <c r="AK42" s="12"/>
      <c r="AL42" s="12"/>
      <c r="AM42" s="16"/>
    </row>
    <row r="43" spans="2:39" ht="25.05" customHeight="1">
      <c r="B43" s="15"/>
      <c r="C43" s="35"/>
      <c r="D43" s="23"/>
      <c r="E43" s="19" t="s">
        <v>87</v>
      </c>
      <c r="F43" s="9" t="s">
        <v>44</v>
      </c>
      <c r="G43" s="10">
        <v>0.34930555555555554</v>
      </c>
      <c r="H43" s="10">
        <v>0.35208333333333336</v>
      </c>
      <c r="I43" s="11">
        <f t="shared" si="8"/>
        <v>2.7777777777778234E-3</v>
      </c>
      <c r="J43" s="12">
        <v>4</v>
      </c>
      <c r="K43" s="12">
        <v>46.68</v>
      </c>
      <c r="L43" s="13">
        <f t="shared" si="9"/>
        <v>175.04999999999711</v>
      </c>
      <c r="M43" s="12"/>
      <c r="N43" s="12"/>
      <c r="O43" s="12"/>
      <c r="P43" s="12"/>
      <c r="Q43" s="12"/>
      <c r="R43" s="14"/>
      <c r="S43" s="14"/>
      <c r="T43" s="12"/>
      <c r="U43" s="12"/>
      <c r="V43" s="14"/>
      <c r="W43" s="14">
        <v>2</v>
      </c>
      <c r="X43" s="12"/>
      <c r="Y43" s="12"/>
      <c r="Z43" s="12"/>
      <c r="AA43" s="12"/>
      <c r="AB43" s="12"/>
      <c r="AC43" s="12"/>
      <c r="AD43" s="12">
        <v>4</v>
      </c>
      <c r="AE43" s="12"/>
      <c r="AF43" s="12"/>
      <c r="AG43" s="12"/>
      <c r="AH43" s="12"/>
      <c r="AI43" s="12"/>
      <c r="AJ43" s="12"/>
      <c r="AK43" s="12"/>
      <c r="AL43" s="12"/>
      <c r="AM43" s="16"/>
    </row>
    <row r="44" spans="2:39" ht="25.05" customHeight="1">
      <c r="B44" s="15"/>
      <c r="C44" s="35"/>
      <c r="D44" s="23"/>
      <c r="E44" s="19" t="s">
        <v>88</v>
      </c>
      <c r="F44" s="9" t="s">
        <v>44</v>
      </c>
      <c r="G44" s="10">
        <v>0.35555555555555557</v>
      </c>
      <c r="H44" s="10">
        <v>0.35833333333333334</v>
      </c>
      <c r="I44" s="11">
        <f t="shared" si="8"/>
        <v>2.7777777777777679E-3</v>
      </c>
      <c r="J44" s="12">
        <v>4</v>
      </c>
      <c r="K44" s="12">
        <v>50.46</v>
      </c>
      <c r="L44" s="13">
        <f t="shared" si="9"/>
        <v>189.22500000000068</v>
      </c>
      <c r="M44" s="12"/>
      <c r="N44" s="12"/>
      <c r="O44" s="12"/>
      <c r="P44" s="12"/>
      <c r="Q44" s="12"/>
      <c r="R44" s="14"/>
      <c r="S44" s="14"/>
      <c r="T44" s="12"/>
      <c r="U44" s="12"/>
      <c r="V44" s="14">
        <v>2</v>
      </c>
      <c r="W44" s="14"/>
      <c r="X44" s="12"/>
      <c r="Y44" s="12"/>
      <c r="Z44" s="12"/>
      <c r="AA44" s="12"/>
      <c r="AB44" s="12"/>
      <c r="AC44" s="12"/>
      <c r="AD44" s="12">
        <v>4</v>
      </c>
      <c r="AE44" s="12"/>
      <c r="AF44" s="12"/>
      <c r="AG44" s="12"/>
      <c r="AH44" s="12"/>
      <c r="AI44" s="12"/>
      <c r="AJ44" s="12"/>
      <c r="AK44" s="12"/>
      <c r="AL44" s="12"/>
      <c r="AM44" s="16"/>
    </row>
    <row r="45" spans="2:39" ht="25.05" customHeight="1">
      <c r="B45" s="15"/>
      <c r="C45" s="35"/>
      <c r="D45" s="23"/>
      <c r="E45" s="19" t="s">
        <v>89</v>
      </c>
      <c r="F45" s="9" t="s">
        <v>44</v>
      </c>
      <c r="G45" s="10">
        <v>0.36180555555555555</v>
      </c>
      <c r="H45" s="10">
        <v>0.36388888888888887</v>
      </c>
      <c r="I45" s="11">
        <f t="shared" si="8"/>
        <v>2.0833333333333259E-3</v>
      </c>
      <c r="J45" s="12">
        <v>4</v>
      </c>
      <c r="K45" s="12">
        <v>57.74</v>
      </c>
      <c r="L45" s="13">
        <f t="shared" si="9"/>
        <v>288.70000000000101</v>
      </c>
      <c r="M45" s="12"/>
      <c r="N45" s="12"/>
      <c r="O45" s="12"/>
      <c r="P45" s="12"/>
      <c r="Q45" s="12"/>
      <c r="R45" s="14"/>
      <c r="S45" s="14"/>
      <c r="T45" s="12"/>
      <c r="U45" s="12"/>
      <c r="V45" s="14"/>
      <c r="W45" s="14">
        <v>2</v>
      </c>
      <c r="X45" s="12"/>
      <c r="Y45" s="12"/>
      <c r="Z45" s="12"/>
      <c r="AA45" s="12"/>
      <c r="AB45" s="12"/>
      <c r="AC45" s="12"/>
      <c r="AD45" s="12">
        <v>3</v>
      </c>
      <c r="AE45" s="12"/>
      <c r="AF45" s="12"/>
      <c r="AG45" s="12"/>
      <c r="AH45" s="12"/>
      <c r="AI45" s="12"/>
      <c r="AJ45" s="12"/>
      <c r="AK45" s="12"/>
      <c r="AL45" s="12"/>
      <c r="AM45" s="16"/>
    </row>
    <row r="46" spans="2:39" ht="25.05" customHeight="1">
      <c r="B46" s="15"/>
      <c r="C46" s="35"/>
      <c r="D46" s="23"/>
      <c r="E46" s="19" t="s">
        <v>90</v>
      </c>
      <c r="F46" s="9" t="s">
        <v>44</v>
      </c>
      <c r="G46" s="10">
        <v>0.36736111111111114</v>
      </c>
      <c r="H46" s="10">
        <v>0.36944444444444446</v>
      </c>
      <c r="I46" s="11">
        <f t="shared" si="8"/>
        <v>2.0833333333333259E-3</v>
      </c>
      <c r="J46" s="12">
        <v>4</v>
      </c>
      <c r="K46" s="12">
        <v>51.36</v>
      </c>
      <c r="L46" s="13">
        <f t="shared" si="9"/>
        <v>256.80000000000092</v>
      </c>
      <c r="M46" s="12"/>
      <c r="N46" s="12"/>
      <c r="O46" s="12"/>
      <c r="P46" s="12"/>
      <c r="Q46" s="12"/>
      <c r="R46" s="14"/>
      <c r="S46" s="14"/>
      <c r="T46" s="12"/>
      <c r="U46" s="12"/>
      <c r="V46" s="14">
        <v>2</v>
      </c>
      <c r="W46" s="14"/>
      <c r="X46" s="12"/>
      <c r="Y46" s="12"/>
      <c r="Z46" s="12"/>
      <c r="AA46" s="12"/>
      <c r="AB46" s="12"/>
      <c r="AC46" s="12"/>
      <c r="AD46" s="12">
        <v>3</v>
      </c>
      <c r="AE46" s="12"/>
      <c r="AF46" s="12"/>
      <c r="AG46" s="12"/>
      <c r="AH46" s="12"/>
      <c r="AI46" s="12"/>
      <c r="AJ46" s="12"/>
      <c r="AK46" s="12"/>
      <c r="AL46" s="12"/>
      <c r="AM46" s="16"/>
    </row>
    <row r="47" spans="2:39" ht="25.05" customHeight="1">
      <c r="B47" s="15"/>
      <c r="C47" s="35"/>
      <c r="D47" s="23"/>
      <c r="E47" s="19" t="s">
        <v>91</v>
      </c>
      <c r="F47" s="9" t="s">
        <v>44</v>
      </c>
      <c r="G47" s="10">
        <v>0.37361111111111112</v>
      </c>
      <c r="H47" s="10">
        <v>0.37569444444444444</v>
      </c>
      <c r="I47" s="11">
        <f t="shared" si="8"/>
        <v>2.0833333333333259E-3</v>
      </c>
      <c r="J47" s="12">
        <v>4</v>
      </c>
      <c r="K47" s="12">
        <v>51.31</v>
      </c>
      <c r="L47" s="13">
        <f t="shared" si="9"/>
        <v>256.55000000000092</v>
      </c>
      <c r="M47" s="12"/>
      <c r="N47" s="12"/>
      <c r="O47" s="12"/>
      <c r="P47" s="12"/>
      <c r="Q47" s="12"/>
      <c r="R47" s="14"/>
      <c r="S47" s="14"/>
      <c r="T47" s="12"/>
      <c r="U47" s="12"/>
      <c r="V47" s="14"/>
      <c r="W47" s="14">
        <v>2</v>
      </c>
      <c r="X47" s="12"/>
      <c r="Y47" s="12"/>
      <c r="Z47" s="12"/>
      <c r="AA47" s="12"/>
      <c r="AB47" s="12"/>
      <c r="AC47" s="12"/>
      <c r="AD47" s="12">
        <v>3</v>
      </c>
      <c r="AE47" s="12"/>
      <c r="AF47" s="12"/>
      <c r="AG47" s="12"/>
      <c r="AH47" s="12"/>
      <c r="AI47" s="12"/>
      <c r="AJ47" s="12"/>
      <c r="AK47" s="12"/>
      <c r="AL47" s="12"/>
      <c r="AM47" s="16"/>
    </row>
    <row r="48" spans="2:39" ht="25.05" customHeight="1">
      <c r="B48" s="15"/>
      <c r="C48" s="35"/>
      <c r="D48" s="23"/>
      <c r="E48" s="19" t="s">
        <v>92</v>
      </c>
      <c r="F48" s="9" t="s">
        <v>44</v>
      </c>
      <c r="G48" s="10">
        <v>0.38055555555555554</v>
      </c>
      <c r="H48" s="10">
        <v>0.38263888888888886</v>
      </c>
      <c r="I48" s="11">
        <f t="shared" si="8"/>
        <v>2.0833333333333259E-3</v>
      </c>
      <c r="J48" s="12">
        <v>4</v>
      </c>
      <c r="K48" s="12">
        <v>53.49</v>
      </c>
      <c r="L48" s="13">
        <f t="shared" si="9"/>
        <v>267.45000000000095</v>
      </c>
      <c r="M48" s="12"/>
      <c r="N48" s="12"/>
      <c r="O48" s="12"/>
      <c r="P48" s="12"/>
      <c r="Q48" s="12"/>
      <c r="R48" s="14"/>
      <c r="S48" s="14"/>
      <c r="T48" s="12"/>
      <c r="U48" s="12"/>
      <c r="V48" s="14">
        <v>2</v>
      </c>
      <c r="W48" s="14"/>
      <c r="X48" s="12"/>
      <c r="Y48" s="12"/>
      <c r="Z48" s="12"/>
      <c r="AA48" s="12"/>
      <c r="AB48" s="12"/>
      <c r="AC48" s="12"/>
      <c r="AD48" s="12">
        <v>3</v>
      </c>
      <c r="AE48" s="12"/>
      <c r="AF48" s="12"/>
      <c r="AG48" s="12"/>
      <c r="AH48" s="12"/>
      <c r="AI48" s="12"/>
      <c r="AJ48" s="12"/>
      <c r="AK48" s="12"/>
      <c r="AL48" s="12"/>
      <c r="AM48" s="16"/>
    </row>
    <row r="49" spans="2:39" ht="25.05" customHeight="1">
      <c r="B49" s="15"/>
      <c r="C49" s="35"/>
      <c r="D49" s="23"/>
      <c r="E49" s="19" t="s">
        <v>93</v>
      </c>
      <c r="F49" s="9" t="s">
        <v>44</v>
      </c>
      <c r="G49" s="10">
        <v>0.38611111111111113</v>
      </c>
      <c r="H49" s="10">
        <v>0.38819444444444445</v>
      </c>
      <c r="I49" s="11">
        <f t="shared" si="8"/>
        <v>2.0833333333333259E-3</v>
      </c>
      <c r="J49" s="12">
        <v>4</v>
      </c>
      <c r="K49" s="12">
        <v>53.09</v>
      </c>
      <c r="L49" s="13">
        <f t="shared" si="9"/>
        <v>265.45000000000095</v>
      </c>
      <c r="M49" s="12"/>
      <c r="N49" s="12"/>
      <c r="O49" s="12"/>
      <c r="P49" s="12"/>
      <c r="Q49" s="12"/>
      <c r="R49" s="14"/>
      <c r="S49" s="14"/>
      <c r="T49" s="12"/>
      <c r="U49" s="12"/>
      <c r="V49" s="14"/>
      <c r="W49" s="14">
        <v>2</v>
      </c>
      <c r="X49" s="12"/>
      <c r="Y49" s="12"/>
      <c r="Z49" s="12"/>
      <c r="AA49" s="12"/>
      <c r="AB49" s="12"/>
      <c r="AC49" s="12"/>
      <c r="AD49" s="12">
        <v>3</v>
      </c>
      <c r="AE49" s="12"/>
      <c r="AF49" s="12"/>
      <c r="AG49" s="12"/>
      <c r="AH49" s="12"/>
      <c r="AI49" s="12"/>
      <c r="AJ49" s="12"/>
      <c r="AK49" s="12"/>
      <c r="AL49" s="12"/>
      <c r="AM49" s="16"/>
    </row>
    <row r="50" spans="2:39" ht="25.05" customHeight="1">
      <c r="B50" s="15"/>
      <c r="C50" s="35"/>
      <c r="D50" s="23"/>
      <c r="E50" s="19" t="s">
        <v>94</v>
      </c>
      <c r="F50" s="9" t="s">
        <v>44</v>
      </c>
      <c r="G50" s="10">
        <v>0.3923611111111111</v>
      </c>
      <c r="H50" s="10">
        <v>0.39444444444444443</v>
      </c>
      <c r="I50" s="11">
        <f t="shared" si="8"/>
        <v>2.0833333333333259E-3</v>
      </c>
      <c r="J50" s="12">
        <v>4</v>
      </c>
      <c r="K50" s="12">
        <v>51.38</v>
      </c>
      <c r="L50" s="13">
        <f t="shared" si="9"/>
        <v>256.90000000000094</v>
      </c>
      <c r="M50" s="12"/>
      <c r="N50" s="12"/>
      <c r="O50" s="12"/>
      <c r="P50" s="12"/>
      <c r="Q50" s="12"/>
      <c r="R50" s="14"/>
      <c r="S50" s="14"/>
      <c r="T50" s="12"/>
      <c r="U50" s="12"/>
      <c r="V50" s="14">
        <v>2</v>
      </c>
      <c r="W50" s="14"/>
      <c r="X50" s="12"/>
      <c r="Y50" s="12"/>
      <c r="Z50" s="12"/>
      <c r="AA50" s="12"/>
      <c r="AB50" s="12"/>
      <c r="AC50" s="12"/>
      <c r="AD50" s="12">
        <v>3</v>
      </c>
      <c r="AE50" s="12"/>
      <c r="AF50" s="12"/>
      <c r="AG50" s="12"/>
      <c r="AH50" s="12"/>
      <c r="AI50" s="12"/>
      <c r="AJ50" s="12"/>
      <c r="AK50" s="12"/>
      <c r="AL50" s="12"/>
      <c r="AM50" s="16"/>
    </row>
    <row r="51" spans="2:39" ht="25.05" customHeight="1">
      <c r="B51" s="15"/>
      <c r="C51" s="35"/>
      <c r="D51" s="23"/>
      <c r="E51" s="19" t="s">
        <v>95</v>
      </c>
      <c r="F51" s="9" t="s">
        <v>44</v>
      </c>
      <c r="G51" s="10">
        <v>0.39791666666666664</v>
      </c>
      <c r="H51" s="10">
        <v>0.4</v>
      </c>
      <c r="I51" s="11">
        <f t="shared" si="8"/>
        <v>2.0833333333333814E-3</v>
      </c>
      <c r="J51" s="12">
        <v>4</v>
      </c>
      <c r="K51" s="12">
        <v>50.26</v>
      </c>
      <c r="L51" s="13">
        <f t="shared" si="9"/>
        <v>251.29999999999418</v>
      </c>
      <c r="M51" s="12"/>
      <c r="N51" s="12"/>
      <c r="O51" s="12"/>
      <c r="P51" s="12"/>
      <c r="Q51" s="12"/>
      <c r="R51" s="14"/>
      <c r="S51" s="14"/>
      <c r="T51" s="12"/>
      <c r="U51" s="12"/>
      <c r="V51" s="14"/>
      <c r="W51" s="14">
        <v>2</v>
      </c>
      <c r="X51" s="12"/>
      <c r="Y51" s="12"/>
      <c r="Z51" s="12"/>
      <c r="AA51" s="12"/>
      <c r="AB51" s="12"/>
      <c r="AC51" s="12"/>
      <c r="AD51" s="12">
        <v>3</v>
      </c>
      <c r="AE51" s="12"/>
      <c r="AF51" s="12"/>
      <c r="AG51" s="12"/>
      <c r="AH51" s="12"/>
      <c r="AI51" s="12"/>
      <c r="AJ51" s="12"/>
      <c r="AK51" s="12"/>
      <c r="AL51" s="12"/>
      <c r="AM51" s="16"/>
    </row>
    <row r="52" spans="2:39" ht="25.05" customHeight="1">
      <c r="B52" s="15"/>
      <c r="C52" s="35"/>
      <c r="D52" s="23"/>
      <c r="E52" s="19" t="s">
        <v>96</v>
      </c>
      <c r="F52" s="9" t="s">
        <v>44</v>
      </c>
      <c r="G52" s="10">
        <v>0.40347222222222223</v>
      </c>
      <c r="H52" s="10">
        <v>0.40555555555555556</v>
      </c>
      <c r="I52" s="11">
        <f t="shared" si="8"/>
        <v>2.0833333333333259E-3</v>
      </c>
      <c r="J52" s="12">
        <v>4</v>
      </c>
      <c r="K52" s="12">
        <v>56.17</v>
      </c>
      <c r="L52" s="13">
        <f t="shared" si="9"/>
        <v>280.85000000000099</v>
      </c>
      <c r="M52" s="12"/>
      <c r="N52" s="12"/>
      <c r="O52" s="12"/>
      <c r="P52" s="12"/>
      <c r="Q52" s="12"/>
      <c r="R52" s="14"/>
      <c r="S52" s="14"/>
      <c r="T52" s="12"/>
      <c r="U52" s="12"/>
      <c r="V52" s="14">
        <v>2</v>
      </c>
      <c r="W52" s="14"/>
      <c r="X52" s="12"/>
      <c r="Y52" s="12"/>
      <c r="Z52" s="12"/>
      <c r="AA52" s="12"/>
      <c r="AB52" s="12"/>
      <c r="AC52" s="12"/>
      <c r="AD52" s="12">
        <v>3</v>
      </c>
      <c r="AE52" s="12"/>
      <c r="AF52" s="12"/>
      <c r="AG52" s="12"/>
      <c r="AH52" s="12"/>
      <c r="AI52" s="12"/>
      <c r="AJ52" s="12"/>
      <c r="AK52" s="12"/>
      <c r="AL52" s="12"/>
      <c r="AM52" s="16"/>
    </row>
    <row r="53" spans="2:39" ht="25.05" customHeight="1">
      <c r="B53" s="15"/>
      <c r="C53" s="35"/>
      <c r="D53" s="23"/>
      <c r="E53" s="19" t="s">
        <v>97</v>
      </c>
      <c r="F53" s="9" t="s">
        <v>44</v>
      </c>
      <c r="G53" s="10">
        <v>0.41180555555555554</v>
      </c>
      <c r="H53" s="10">
        <v>0.41388888888888886</v>
      </c>
      <c r="I53" s="11">
        <f t="shared" si="8"/>
        <v>2.0833333333333259E-3</v>
      </c>
      <c r="J53" s="12">
        <v>4</v>
      </c>
      <c r="K53" s="12">
        <v>50.18</v>
      </c>
      <c r="L53" s="13">
        <f t="shared" si="9"/>
        <v>250.90000000000089</v>
      </c>
      <c r="M53" s="12"/>
      <c r="N53" s="12"/>
      <c r="O53" s="12"/>
      <c r="P53" s="12"/>
      <c r="Q53" s="12"/>
      <c r="R53" s="14"/>
      <c r="S53" s="14"/>
      <c r="T53" s="12"/>
      <c r="U53" s="12"/>
      <c r="V53" s="14"/>
      <c r="W53" s="14">
        <v>2</v>
      </c>
      <c r="X53" s="12"/>
      <c r="Y53" s="12"/>
      <c r="Z53" s="12"/>
      <c r="AA53" s="12"/>
      <c r="AB53" s="12"/>
      <c r="AC53" s="12"/>
      <c r="AD53" s="12">
        <v>3</v>
      </c>
      <c r="AE53" s="12"/>
      <c r="AF53" s="12"/>
      <c r="AG53" s="12"/>
      <c r="AH53" s="12"/>
      <c r="AI53" s="12"/>
      <c r="AJ53" s="12"/>
      <c r="AK53" s="12"/>
      <c r="AL53" s="12"/>
      <c r="AM53" s="16"/>
    </row>
    <row r="54" spans="2:39" ht="25.05" customHeight="1">
      <c r="B54" s="15"/>
      <c r="C54" s="35"/>
      <c r="D54" s="23"/>
      <c r="E54" s="19" t="s">
        <v>98</v>
      </c>
      <c r="F54" s="9" t="s">
        <v>44</v>
      </c>
      <c r="G54" s="10">
        <v>0.41805555555555557</v>
      </c>
      <c r="H54" s="10">
        <v>0.42083333333333334</v>
      </c>
      <c r="I54" s="11">
        <f t="shared" si="8"/>
        <v>2.7777777777777679E-3</v>
      </c>
      <c r="J54" s="12">
        <v>4</v>
      </c>
      <c r="K54" s="12">
        <v>53.3</v>
      </c>
      <c r="L54" s="13">
        <f>IFERROR(((K54/(J54*I54)/24)),"0")</f>
        <v>199.87500000000068</v>
      </c>
      <c r="M54" s="12"/>
      <c r="N54" s="12"/>
      <c r="O54" s="12"/>
      <c r="P54" s="12"/>
      <c r="Q54" s="12"/>
      <c r="R54" s="14"/>
      <c r="S54" s="14"/>
      <c r="T54" s="12"/>
      <c r="U54" s="12"/>
      <c r="V54" s="14">
        <v>2</v>
      </c>
      <c r="W54" s="14"/>
      <c r="X54" s="12"/>
      <c r="Y54" s="12"/>
      <c r="Z54" s="12"/>
      <c r="AA54" s="12"/>
      <c r="AB54" s="12"/>
      <c r="AC54" s="12"/>
      <c r="AD54" s="12">
        <v>4</v>
      </c>
      <c r="AE54" s="12"/>
      <c r="AF54" s="12"/>
      <c r="AG54" s="12"/>
      <c r="AH54" s="12"/>
      <c r="AI54" s="12"/>
      <c r="AJ54" s="12"/>
      <c r="AK54" s="12"/>
      <c r="AL54" s="12"/>
      <c r="AM54" s="16"/>
    </row>
    <row r="55" spans="2:39" ht="25.05" customHeight="1">
      <c r="B55" s="15"/>
      <c r="C55" s="35"/>
      <c r="D55" s="23"/>
      <c r="E55" s="19" t="s">
        <v>99</v>
      </c>
      <c r="F55" s="9" t="s">
        <v>44</v>
      </c>
      <c r="G55" s="10">
        <v>0.42499999999999999</v>
      </c>
      <c r="H55" s="10">
        <v>0.42708333333333331</v>
      </c>
      <c r="I55" s="11">
        <f t="shared" si="8"/>
        <v>2.0833333333333259E-3</v>
      </c>
      <c r="J55" s="12">
        <v>4</v>
      </c>
      <c r="K55" s="12">
        <v>49.66</v>
      </c>
      <c r="L55" s="13">
        <f t="shared" si="9"/>
        <v>248.30000000000086</v>
      </c>
      <c r="M55" s="12"/>
      <c r="N55" s="12"/>
      <c r="O55" s="12"/>
      <c r="P55" s="12"/>
      <c r="Q55" s="12"/>
      <c r="R55" s="14"/>
      <c r="S55" s="14"/>
      <c r="T55" s="12"/>
      <c r="U55" s="12"/>
      <c r="V55" s="14"/>
      <c r="W55" s="14">
        <v>2</v>
      </c>
      <c r="X55" s="12"/>
      <c r="Y55" s="12"/>
      <c r="Z55" s="12"/>
      <c r="AA55" s="12"/>
      <c r="AB55" s="12"/>
      <c r="AC55" s="12"/>
      <c r="AD55" s="12">
        <v>3</v>
      </c>
      <c r="AE55" s="12"/>
      <c r="AF55" s="12"/>
      <c r="AG55" s="12"/>
      <c r="AH55" s="12"/>
      <c r="AI55" s="12"/>
      <c r="AJ55" s="12"/>
      <c r="AK55" s="12"/>
      <c r="AL55" s="12"/>
      <c r="AM55" s="16"/>
    </row>
    <row r="56" spans="2:39" ht="25.05" customHeight="1">
      <c r="B56" s="15"/>
      <c r="C56" s="35"/>
      <c r="D56" s="23"/>
      <c r="E56" s="19" t="s">
        <v>100</v>
      </c>
      <c r="F56" s="9" t="s">
        <v>44</v>
      </c>
      <c r="G56" s="10">
        <v>0.43055555555555558</v>
      </c>
      <c r="H56" s="10">
        <v>0.43263888888888891</v>
      </c>
      <c r="I56" s="11">
        <f t="shared" si="8"/>
        <v>2.0833333333333259E-3</v>
      </c>
      <c r="J56" s="12">
        <v>4</v>
      </c>
      <c r="K56" s="12">
        <v>50.77</v>
      </c>
      <c r="L56" s="13">
        <f t="shared" si="9"/>
        <v>253.85000000000093</v>
      </c>
      <c r="M56" s="12"/>
      <c r="N56" s="12"/>
      <c r="O56" s="12"/>
      <c r="P56" s="12"/>
      <c r="Q56" s="12"/>
      <c r="R56" s="14"/>
      <c r="S56" s="14"/>
      <c r="T56" s="12"/>
      <c r="U56" s="12"/>
      <c r="V56" s="14">
        <v>2</v>
      </c>
      <c r="W56" s="14"/>
      <c r="X56" s="12"/>
      <c r="Y56" s="12"/>
      <c r="Z56" s="12"/>
      <c r="AA56" s="12"/>
      <c r="AB56" s="12"/>
      <c r="AC56" s="12"/>
      <c r="AD56" s="12">
        <v>3</v>
      </c>
      <c r="AE56" s="12"/>
      <c r="AF56" s="12"/>
      <c r="AG56" s="12"/>
      <c r="AH56" s="12"/>
      <c r="AI56" s="12"/>
      <c r="AJ56" s="12"/>
      <c r="AK56" s="12"/>
      <c r="AL56" s="12"/>
      <c r="AM56" s="16"/>
    </row>
    <row r="57" spans="2:39" ht="25.05" customHeight="1">
      <c r="B57" s="15"/>
      <c r="C57" s="35"/>
      <c r="D57" s="23"/>
      <c r="E57" s="19" t="s">
        <v>101</v>
      </c>
      <c r="F57" s="9" t="s">
        <v>44</v>
      </c>
      <c r="G57" s="10">
        <v>0.43541666666666667</v>
      </c>
      <c r="H57" s="10">
        <v>0.43819444444444444</v>
      </c>
      <c r="I57" s="11">
        <f t="shared" si="8"/>
        <v>2.7777777777777679E-3</v>
      </c>
      <c r="J57" s="12">
        <v>4</v>
      </c>
      <c r="K57" s="12">
        <v>51.64</v>
      </c>
      <c r="L57" s="13">
        <f t="shared" si="9"/>
        <v>193.65000000000069</v>
      </c>
      <c r="M57" s="12"/>
      <c r="N57" s="12"/>
      <c r="O57" s="12"/>
      <c r="P57" s="12"/>
      <c r="Q57" s="12"/>
      <c r="R57" s="14"/>
      <c r="S57" s="14"/>
      <c r="T57" s="12"/>
      <c r="U57" s="12"/>
      <c r="V57" s="14"/>
      <c r="W57" s="14">
        <v>2</v>
      </c>
      <c r="X57" s="12"/>
      <c r="Y57" s="12"/>
      <c r="Z57" s="12"/>
      <c r="AA57" s="12"/>
      <c r="AB57" s="12"/>
      <c r="AC57" s="12"/>
      <c r="AD57" s="12">
        <v>4</v>
      </c>
      <c r="AE57" s="12"/>
      <c r="AF57" s="12"/>
      <c r="AG57" s="12"/>
      <c r="AH57" s="12"/>
      <c r="AI57" s="12"/>
      <c r="AJ57" s="12"/>
      <c r="AK57" s="12"/>
      <c r="AL57" s="12"/>
      <c r="AM57" s="16"/>
    </row>
    <row r="58" spans="2:39" ht="25.05" customHeight="1">
      <c r="B58" s="15"/>
      <c r="C58" s="35"/>
      <c r="D58" s="23"/>
      <c r="E58" s="19" t="s">
        <v>102</v>
      </c>
      <c r="F58" s="9" t="s">
        <v>44</v>
      </c>
      <c r="G58" s="10">
        <v>0.49930555555555556</v>
      </c>
      <c r="H58" s="10">
        <v>0.50277777777777777</v>
      </c>
      <c r="I58" s="11">
        <f t="shared" si="8"/>
        <v>3.4722222222222099E-3</v>
      </c>
      <c r="J58" s="12">
        <v>4</v>
      </c>
      <c r="K58" s="12">
        <v>50.57</v>
      </c>
      <c r="L58" s="13">
        <f t="shared" si="9"/>
        <v>151.71000000000055</v>
      </c>
      <c r="M58" s="12"/>
      <c r="N58" s="12"/>
      <c r="O58" s="12"/>
      <c r="P58" s="12"/>
      <c r="Q58" s="12"/>
      <c r="R58" s="14"/>
      <c r="S58" s="14"/>
      <c r="T58" s="12"/>
      <c r="U58" s="12"/>
      <c r="V58" s="14">
        <v>2</v>
      </c>
      <c r="W58" s="14"/>
      <c r="X58" s="12"/>
      <c r="Y58" s="12"/>
      <c r="Z58" s="12"/>
      <c r="AA58" s="12"/>
      <c r="AB58" s="12"/>
      <c r="AC58" s="12"/>
      <c r="AD58" s="12">
        <v>5</v>
      </c>
      <c r="AE58" s="12"/>
      <c r="AF58" s="12"/>
      <c r="AG58" s="12"/>
      <c r="AH58" s="12"/>
      <c r="AI58" s="12"/>
      <c r="AJ58" s="12"/>
      <c r="AK58" s="12"/>
      <c r="AL58" s="12"/>
      <c r="AM58" s="16"/>
    </row>
    <row r="59" spans="2:39" ht="25.05" customHeight="1">
      <c r="B59" s="15"/>
      <c r="C59" s="35"/>
      <c r="D59" s="23"/>
      <c r="E59" s="19" t="s">
        <v>103</v>
      </c>
      <c r="F59" s="9" t="s">
        <v>44</v>
      </c>
      <c r="G59" s="10">
        <v>0.50694444444444442</v>
      </c>
      <c r="H59" s="10">
        <v>0.50972222222222219</v>
      </c>
      <c r="I59" s="11">
        <f t="shared" si="8"/>
        <v>2.7777777777777679E-3</v>
      </c>
      <c r="J59" s="12">
        <v>4</v>
      </c>
      <c r="K59" s="12">
        <v>50.56</v>
      </c>
      <c r="L59" s="13">
        <f t="shared" si="9"/>
        <v>189.60000000000068</v>
      </c>
      <c r="M59" s="12"/>
      <c r="N59" s="12"/>
      <c r="O59" s="12"/>
      <c r="P59" s="12"/>
      <c r="Q59" s="12"/>
      <c r="R59" s="14"/>
      <c r="S59" s="14"/>
      <c r="T59" s="12"/>
      <c r="U59" s="12"/>
      <c r="V59" s="14"/>
      <c r="W59" s="14">
        <v>2</v>
      </c>
      <c r="X59" s="12"/>
      <c r="Y59" s="12"/>
      <c r="Z59" s="12"/>
      <c r="AA59" s="12"/>
      <c r="AB59" s="12"/>
      <c r="AC59" s="12"/>
      <c r="AD59" s="12">
        <v>4</v>
      </c>
      <c r="AE59" s="12"/>
      <c r="AF59" s="12"/>
      <c r="AG59" s="12"/>
      <c r="AH59" s="12"/>
      <c r="AI59" s="12"/>
      <c r="AJ59" s="12"/>
      <c r="AK59" s="12"/>
      <c r="AL59" s="12"/>
      <c r="AM59" s="16"/>
    </row>
    <row r="60" spans="2:39" ht="25.05" customHeight="1">
      <c r="B60" s="15"/>
      <c r="C60" s="35"/>
      <c r="D60" s="23"/>
      <c r="E60" s="19" t="s">
        <v>104</v>
      </c>
      <c r="F60" s="9" t="s">
        <v>44</v>
      </c>
      <c r="G60" s="10">
        <v>0.35347222222222224</v>
      </c>
      <c r="H60" s="10">
        <v>0.36249999999999999</v>
      </c>
      <c r="I60" s="11">
        <f t="shared" si="8"/>
        <v>9.0277777777777457E-3</v>
      </c>
      <c r="J60" s="12">
        <v>8</v>
      </c>
      <c r="K60" s="12">
        <v>131.11000000000001</v>
      </c>
      <c r="L60" s="13">
        <f t="shared" si="9"/>
        <v>75.640384615384889</v>
      </c>
      <c r="M60" s="12"/>
      <c r="N60" s="12"/>
      <c r="O60" s="12"/>
      <c r="P60" s="12"/>
      <c r="Q60" s="12"/>
      <c r="R60" s="14"/>
      <c r="S60" s="14"/>
      <c r="T60" s="12"/>
      <c r="U60" s="12"/>
      <c r="V60" s="14">
        <v>3</v>
      </c>
      <c r="W60" s="14"/>
      <c r="X60" s="12"/>
      <c r="Y60" s="12"/>
      <c r="Z60" s="12"/>
      <c r="AA60" s="12"/>
      <c r="AB60" s="12">
        <v>13</v>
      </c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6"/>
    </row>
    <row r="61" spans="2:39" ht="25.05" customHeight="1">
      <c r="B61" s="15"/>
      <c r="C61" s="35"/>
      <c r="D61" s="23"/>
      <c r="E61" s="19" t="s">
        <v>105</v>
      </c>
      <c r="F61" s="9" t="s">
        <v>44</v>
      </c>
      <c r="G61" s="10">
        <v>0.3659722222222222</v>
      </c>
      <c r="H61" s="10">
        <v>0.37430555555555556</v>
      </c>
      <c r="I61" s="11">
        <f t="shared" si="8"/>
        <v>8.3333333333333592E-3</v>
      </c>
      <c r="J61" s="12">
        <v>8</v>
      </c>
      <c r="K61" s="12">
        <v>126.36</v>
      </c>
      <c r="L61" s="13">
        <f t="shared" si="9"/>
        <v>78.974999999999753</v>
      </c>
      <c r="M61" s="12"/>
      <c r="N61" s="12"/>
      <c r="O61" s="12"/>
      <c r="P61" s="12"/>
      <c r="Q61" s="12"/>
      <c r="R61" s="14"/>
      <c r="S61" s="14"/>
      <c r="T61" s="12"/>
      <c r="U61" s="12"/>
      <c r="V61" s="14">
        <v>3</v>
      </c>
      <c r="W61" s="14"/>
      <c r="X61" s="12"/>
      <c r="Y61" s="12"/>
      <c r="Z61" s="12"/>
      <c r="AA61" s="12"/>
      <c r="AB61" s="12">
        <v>12</v>
      </c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6"/>
    </row>
    <row r="62" spans="2:39" ht="25.05" customHeight="1">
      <c r="B62" s="15"/>
      <c r="C62" s="35"/>
      <c r="D62" s="23"/>
      <c r="E62" s="19" t="s">
        <v>106</v>
      </c>
      <c r="F62" s="9" t="s">
        <v>44</v>
      </c>
      <c r="G62" s="10">
        <v>0.51458333333333328</v>
      </c>
      <c r="H62" s="10">
        <v>0.52222222222222225</v>
      </c>
      <c r="I62" s="11">
        <f t="shared" si="8"/>
        <v>7.6388888888889728E-3</v>
      </c>
      <c r="J62" s="12">
        <v>8</v>
      </c>
      <c r="K62" s="12">
        <v>130.36000000000001</v>
      </c>
      <c r="L62" s="13">
        <f t="shared" si="9"/>
        <v>88.881818181817209</v>
      </c>
      <c r="M62" s="12"/>
      <c r="N62" s="12"/>
      <c r="O62" s="12"/>
      <c r="P62" s="12"/>
      <c r="Q62" s="12"/>
      <c r="R62" s="14"/>
      <c r="S62" s="14"/>
      <c r="T62" s="12"/>
      <c r="U62" s="12"/>
      <c r="V62" s="14">
        <v>3</v>
      </c>
      <c r="W62" s="14"/>
      <c r="X62" s="12"/>
      <c r="Y62" s="12"/>
      <c r="Z62" s="12"/>
      <c r="AA62" s="12"/>
      <c r="AB62" s="12">
        <v>11</v>
      </c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6"/>
    </row>
    <row r="63" spans="2:39" ht="25.05" customHeight="1">
      <c r="B63" s="15"/>
      <c r="C63" s="35"/>
      <c r="D63" s="23"/>
      <c r="E63" s="19" t="s">
        <v>107</v>
      </c>
      <c r="F63" s="9" t="s">
        <v>44</v>
      </c>
      <c r="G63" s="10">
        <v>0.53263888888888888</v>
      </c>
      <c r="H63" s="10">
        <v>0.54166666666666663</v>
      </c>
      <c r="I63" s="11">
        <f t="shared" si="8"/>
        <v>9.0277777777777457E-3</v>
      </c>
      <c r="J63" s="12">
        <v>8</v>
      </c>
      <c r="K63" s="12">
        <v>129.85</v>
      </c>
      <c r="L63" s="13">
        <f t="shared" si="9"/>
        <v>74.913461538461803</v>
      </c>
      <c r="M63" s="12"/>
      <c r="N63" s="12"/>
      <c r="O63" s="12"/>
      <c r="P63" s="12"/>
      <c r="Q63" s="12"/>
      <c r="R63" s="14"/>
      <c r="S63" s="14"/>
      <c r="T63" s="12"/>
      <c r="U63" s="12"/>
      <c r="V63" s="14">
        <v>3</v>
      </c>
      <c r="W63" s="14"/>
      <c r="X63" s="12"/>
      <c r="Y63" s="12"/>
      <c r="Z63" s="12"/>
      <c r="AA63" s="12"/>
      <c r="AB63" s="12">
        <v>13</v>
      </c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6"/>
    </row>
    <row r="64" spans="2:39" ht="25.05" customHeight="1">
      <c r="B64" s="15"/>
      <c r="C64" s="35"/>
      <c r="D64" s="23"/>
      <c r="E64" s="19" t="s">
        <v>108</v>
      </c>
      <c r="F64" s="9" t="s">
        <v>44</v>
      </c>
      <c r="G64" s="10">
        <v>0.64027777777777772</v>
      </c>
      <c r="H64" s="10">
        <v>0.65069444444444446</v>
      </c>
      <c r="I64" s="11">
        <f t="shared" si="8"/>
        <v>1.0416666666666741E-2</v>
      </c>
      <c r="J64" s="12">
        <v>8</v>
      </c>
      <c r="K64" s="12">
        <v>129.86000000000001</v>
      </c>
      <c r="L64" s="13">
        <f t="shared" si="9"/>
        <v>64.929999999999538</v>
      </c>
      <c r="M64" s="12"/>
      <c r="N64" s="12"/>
      <c r="O64" s="12"/>
      <c r="P64" s="12"/>
      <c r="Q64" s="12"/>
      <c r="R64" s="14"/>
      <c r="S64" s="14"/>
      <c r="T64" s="12"/>
      <c r="U64" s="12"/>
      <c r="V64" s="14">
        <v>3</v>
      </c>
      <c r="W64" s="14"/>
      <c r="X64" s="12"/>
      <c r="Y64" s="12"/>
      <c r="Z64" s="12"/>
      <c r="AA64" s="12"/>
      <c r="AB64" s="12">
        <v>15</v>
      </c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6"/>
    </row>
    <row r="65" spans="2:39" ht="25.05" customHeight="1">
      <c r="B65" s="15"/>
      <c r="C65" s="35"/>
      <c r="D65" s="23"/>
      <c r="E65" s="19" t="s">
        <v>109</v>
      </c>
      <c r="F65" s="9" t="s">
        <v>44</v>
      </c>
      <c r="G65" s="10">
        <v>0.68958333333333333</v>
      </c>
      <c r="H65" s="10">
        <v>0.69791666666666663</v>
      </c>
      <c r="I65" s="11">
        <f t="shared" si="8"/>
        <v>8.3333333333333037E-3</v>
      </c>
      <c r="J65" s="12">
        <v>8</v>
      </c>
      <c r="K65" s="12">
        <v>126.62</v>
      </c>
      <c r="L65" s="13">
        <f t="shared" si="9"/>
        <v>79.137500000000287</v>
      </c>
      <c r="M65" s="12"/>
      <c r="N65" s="12"/>
      <c r="O65" s="12"/>
      <c r="P65" s="12"/>
      <c r="Q65" s="12"/>
      <c r="R65" s="14"/>
      <c r="S65" s="14"/>
      <c r="T65" s="12"/>
      <c r="U65" s="12"/>
      <c r="V65" s="14">
        <v>3</v>
      </c>
      <c r="W65" s="14"/>
      <c r="X65" s="12"/>
      <c r="Y65" s="12"/>
      <c r="Z65" s="12"/>
      <c r="AA65" s="12"/>
      <c r="AB65" s="12">
        <v>12</v>
      </c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6"/>
    </row>
    <row r="66" spans="2:39" ht="25.05" customHeight="1">
      <c r="B66" s="15"/>
      <c r="C66" s="35"/>
      <c r="D66" s="23"/>
      <c r="E66" s="19" t="s">
        <v>110</v>
      </c>
      <c r="F66" s="9" t="s">
        <v>44</v>
      </c>
      <c r="G66" s="10">
        <v>0.70625000000000004</v>
      </c>
      <c r="H66" s="10">
        <v>0.71388888888888891</v>
      </c>
      <c r="I66" s="11">
        <f t="shared" si="8"/>
        <v>7.6388888888888618E-3</v>
      </c>
      <c r="J66" s="12">
        <v>8</v>
      </c>
      <c r="K66" s="12">
        <v>122</v>
      </c>
      <c r="L66" s="13">
        <f t="shared" si="9"/>
        <v>83.181818181818485</v>
      </c>
      <c r="M66" s="12"/>
      <c r="N66" s="12"/>
      <c r="O66" s="12"/>
      <c r="P66" s="12"/>
      <c r="Q66" s="12"/>
      <c r="R66" s="14"/>
      <c r="S66" s="14"/>
      <c r="T66" s="12"/>
      <c r="U66" s="12"/>
      <c r="V66" s="14">
        <v>3</v>
      </c>
      <c r="W66" s="14"/>
      <c r="X66" s="12"/>
      <c r="Y66" s="12"/>
      <c r="Z66" s="12"/>
      <c r="AA66" s="12"/>
      <c r="AB66" s="12">
        <v>11</v>
      </c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6"/>
    </row>
    <row r="67" spans="2:39" ht="25.05" customHeight="1">
      <c r="B67" s="15"/>
      <c r="C67" s="35"/>
      <c r="D67" s="23"/>
      <c r="E67" s="19" t="s">
        <v>111</v>
      </c>
      <c r="F67" s="9" t="s">
        <v>44</v>
      </c>
      <c r="G67" s="10">
        <v>0.72361111111111109</v>
      </c>
      <c r="H67" s="10">
        <v>0.73124999999999996</v>
      </c>
      <c r="I67" s="11">
        <f t="shared" si="8"/>
        <v>7.6388888888888618E-3</v>
      </c>
      <c r="J67" s="12">
        <v>8</v>
      </c>
      <c r="K67" s="12">
        <v>126.36</v>
      </c>
      <c r="L67" s="13">
        <f t="shared" si="9"/>
        <v>86.154545454545769</v>
      </c>
      <c r="M67" s="12"/>
      <c r="N67" s="12"/>
      <c r="O67" s="12"/>
      <c r="P67" s="12"/>
      <c r="Q67" s="12"/>
      <c r="R67" s="14"/>
      <c r="S67" s="14"/>
      <c r="T67" s="12"/>
      <c r="U67" s="12"/>
      <c r="V67" s="14">
        <v>3</v>
      </c>
      <c r="W67" s="14"/>
      <c r="X67" s="12"/>
      <c r="Y67" s="12"/>
      <c r="Z67" s="12"/>
      <c r="AA67" s="12"/>
      <c r="AB67" s="12">
        <v>11</v>
      </c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6"/>
    </row>
    <row r="68" spans="2:39" ht="25.05" customHeight="1">
      <c r="B68" s="15"/>
      <c r="C68" s="35"/>
      <c r="D68" s="23"/>
      <c r="E68" s="19" t="s">
        <v>112</v>
      </c>
      <c r="F68" s="9" t="s">
        <v>44</v>
      </c>
      <c r="G68" s="10">
        <v>0.73541666666666672</v>
      </c>
      <c r="H68" s="10">
        <v>0.73750000000000004</v>
      </c>
      <c r="I68" s="11">
        <f t="shared" si="8"/>
        <v>2.0833333333333259E-3</v>
      </c>
      <c r="J68" s="12">
        <v>8</v>
      </c>
      <c r="K68" s="12">
        <v>120</v>
      </c>
      <c r="L68" s="13">
        <f t="shared" si="9"/>
        <v>300.00000000000108</v>
      </c>
      <c r="M68" s="12"/>
      <c r="N68" s="12"/>
      <c r="O68" s="12"/>
      <c r="P68" s="12"/>
      <c r="Q68" s="12"/>
      <c r="R68" s="14"/>
      <c r="S68" s="14"/>
      <c r="T68" s="12"/>
      <c r="U68" s="12"/>
      <c r="V68" s="14">
        <v>3</v>
      </c>
      <c r="W68" s="14"/>
      <c r="X68" s="12"/>
      <c r="Y68" s="12"/>
      <c r="Z68" s="12"/>
      <c r="AA68" s="12"/>
      <c r="AB68" s="12">
        <v>3</v>
      </c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6"/>
    </row>
    <row r="69" spans="2:39" ht="25.05" customHeight="1">
      <c r="B69" s="15"/>
      <c r="C69" s="35"/>
      <c r="D69" s="23"/>
      <c r="E69" s="19" t="s">
        <v>113</v>
      </c>
      <c r="F69" s="9" t="s">
        <v>44</v>
      </c>
      <c r="G69" s="10">
        <v>0.39305555555555555</v>
      </c>
      <c r="H69" s="10">
        <v>0.39513888888888887</v>
      </c>
      <c r="I69" s="11">
        <f t="shared" si="8"/>
        <v>2.0833333333333259E-3</v>
      </c>
      <c r="J69" s="12">
        <v>2</v>
      </c>
      <c r="K69" s="12">
        <f>10.56*4</f>
        <v>42.24</v>
      </c>
      <c r="L69" s="13">
        <f t="shared" si="9"/>
        <v>422.40000000000151</v>
      </c>
      <c r="M69" s="12"/>
      <c r="N69" s="12"/>
      <c r="O69" s="12"/>
      <c r="P69" s="12"/>
      <c r="Q69" s="12"/>
      <c r="R69" s="14"/>
      <c r="S69" s="14"/>
      <c r="T69" s="12"/>
      <c r="U69" s="12"/>
      <c r="V69" s="14">
        <v>3</v>
      </c>
      <c r="W69" s="14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6"/>
    </row>
    <row r="70" spans="2:39" ht="25.05" customHeight="1">
      <c r="B70" s="15"/>
      <c r="C70" s="35"/>
      <c r="D70" s="23"/>
      <c r="E70" s="19" t="s">
        <v>114</v>
      </c>
      <c r="F70" s="9" t="s">
        <v>44</v>
      </c>
      <c r="G70" s="10">
        <v>0.40763888888888888</v>
      </c>
      <c r="H70" s="10">
        <v>0.40972222222222221</v>
      </c>
      <c r="I70" s="11">
        <f t="shared" si="8"/>
        <v>2.0833333333333259E-3</v>
      </c>
      <c r="J70" s="12">
        <v>2</v>
      </c>
      <c r="K70" s="12">
        <f>10.26*4.5</f>
        <v>46.17</v>
      </c>
      <c r="L70" s="13">
        <f t="shared" si="9"/>
        <v>461.70000000000164</v>
      </c>
      <c r="M70" s="12"/>
      <c r="N70" s="12"/>
      <c r="O70" s="12"/>
      <c r="P70" s="12"/>
      <c r="Q70" s="12"/>
      <c r="R70" s="14"/>
      <c r="S70" s="14"/>
      <c r="T70" s="12"/>
      <c r="U70" s="12"/>
      <c r="V70" s="14">
        <v>3</v>
      </c>
      <c r="W70" s="14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6"/>
    </row>
    <row r="71" spans="2:39" ht="25.05" customHeight="1">
      <c r="B71" s="15"/>
      <c r="C71" s="35"/>
      <c r="D71" s="23"/>
      <c r="E71" s="19"/>
      <c r="F71" s="9" t="s">
        <v>44</v>
      </c>
      <c r="G71" s="10"/>
      <c r="H71" s="10"/>
      <c r="I71" s="11">
        <f t="shared" si="8"/>
        <v>0</v>
      </c>
      <c r="J71" s="12"/>
      <c r="K71" s="12"/>
      <c r="L71" s="13" t="str">
        <f t="shared" si="9"/>
        <v>0</v>
      </c>
      <c r="M71" s="12"/>
      <c r="N71" s="12"/>
      <c r="O71" s="12"/>
      <c r="P71" s="12"/>
      <c r="Q71" s="12"/>
      <c r="R71" s="14"/>
      <c r="S71" s="14"/>
      <c r="T71" s="12"/>
      <c r="U71" s="12"/>
      <c r="V71" s="14"/>
      <c r="W71" s="14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6"/>
    </row>
    <row r="72" spans="2:39" ht="25.05" customHeight="1">
      <c r="B72" s="15"/>
      <c r="C72" s="35"/>
      <c r="D72" s="23" t="s">
        <v>115</v>
      </c>
      <c r="E72" s="19" t="s">
        <v>116</v>
      </c>
      <c r="F72" s="9" t="s">
        <v>44</v>
      </c>
      <c r="G72" s="10">
        <v>0.32430555555555557</v>
      </c>
      <c r="H72" s="10">
        <v>0.32442129629629629</v>
      </c>
      <c r="I72" s="11">
        <f t="shared" si="8"/>
        <v>1.1574074074072183E-4</v>
      </c>
      <c r="J72" s="12">
        <v>3</v>
      </c>
      <c r="K72" s="12">
        <v>27.07</v>
      </c>
      <c r="L72" s="13">
        <f t="shared" si="9"/>
        <v>3248.4000000005308</v>
      </c>
      <c r="M72" s="12"/>
      <c r="N72" s="12"/>
      <c r="O72" s="12"/>
      <c r="P72" s="12"/>
      <c r="Q72" s="12"/>
      <c r="R72" s="14"/>
      <c r="S72" s="14"/>
      <c r="T72" s="12"/>
      <c r="U72" s="12"/>
      <c r="V72" s="14"/>
      <c r="W72" s="14">
        <v>2</v>
      </c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6"/>
    </row>
    <row r="73" spans="2:39" ht="25.05" customHeight="1">
      <c r="B73" s="15"/>
      <c r="C73" s="35"/>
      <c r="D73" s="23"/>
      <c r="E73" s="19" t="s">
        <v>117</v>
      </c>
      <c r="F73" s="9" t="s">
        <v>44</v>
      </c>
      <c r="G73" s="10">
        <v>0.3263888888888889</v>
      </c>
      <c r="H73" s="10">
        <v>0.32650462962962962</v>
      </c>
      <c r="I73" s="11">
        <f t="shared" si="8"/>
        <v>1.1574074074072183E-4</v>
      </c>
      <c r="J73" s="12">
        <v>3</v>
      </c>
      <c r="K73" s="12">
        <v>27.14</v>
      </c>
      <c r="L73" s="13">
        <f t="shared" si="9"/>
        <v>3256.8000000005322</v>
      </c>
      <c r="M73" s="12"/>
      <c r="N73" s="12"/>
      <c r="O73" s="12"/>
      <c r="P73" s="12"/>
      <c r="Q73" s="12"/>
      <c r="R73" s="14"/>
      <c r="S73" s="14"/>
      <c r="T73" s="12"/>
      <c r="U73" s="12"/>
      <c r="V73" s="14"/>
      <c r="W73" s="14">
        <v>2</v>
      </c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6"/>
    </row>
    <row r="74" spans="2:39" ht="25.05" customHeight="1">
      <c r="B74" s="15"/>
      <c r="C74" s="35"/>
      <c r="D74" s="23"/>
      <c r="E74" s="19" t="s">
        <v>118</v>
      </c>
      <c r="F74" s="9" t="s">
        <v>44</v>
      </c>
      <c r="G74" s="10">
        <v>0.32847222222222222</v>
      </c>
      <c r="H74" s="10">
        <v>0.32853009259259258</v>
      </c>
      <c r="I74" s="11">
        <f t="shared" si="8"/>
        <v>5.7870370370360913E-5</v>
      </c>
      <c r="J74" s="12">
        <v>3</v>
      </c>
      <c r="K74" s="12">
        <v>1.88</v>
      </c>
      <c r="L74" s="13">
        <f t="shared" si="9"/>
        <v>451.20000000007371</v>
      </c>
      <c r="M74" s="12"/>
      <c r="N74" s="12"/>
      <c r="O74" s="12"/>
      <c r="P74" s="12"/>
      <c r="Q74" s="12"/>
      <c r="R74" s="14"/>
      <c r="S74" s="14"/>
      <c r="T74" s="12"/>
      <c r="U74" s="12"/>
      <c r="V74" s="14"/>
      <c r="W74" s="14">
        <v>2</v>
      </c>
      <c r="X74" s="12"/>
      <c r="Y74" s="12"/>
      <c r="Z74" s="12"/>
      <c r="AA74" s="12"/>
      <c r="AB74" s="12"/>
      <c r="AC74" s="12">
        <v>1</v>
      </c>
      <c r="AD74" s="12"/>
      <c r="AE74" s="12"/>
      <c r="AF74" s="12"/>
      <c r="AG74" s="12"/>
      <c r="AH74" s="12"/>
      <c r="AI74" s="12"/>
      <c r="AJ74" s="12"/>
      <c r="AK74" s="12"/>
      <c r="AL74" s="12"/>
      <c r="AM74" s="16"/>
    </row>
    <row r="75" spans="2:39" ht="25.05" customHeight="1">
      <c r="B75" s="15"/>
      <c r="C75" s="35"/>
      <c r="D75" s="23"/>
      <c r="E75" s="19" t="s">
        <v>119</v>
      </c>
      <c r="F75" s="9" t="s">
        <v>44</v>
      </c>
      <c r="G75" s="10">
        <v>0.32916666666666666</v>
      </c>
      <c r="H75" s="10">
        <v>0.32922453703703702</v>
      </c>
      <c r="I75" s="11">
        <f t="shared" si="8"/>
        <v>5.7870370370360913E-5</v>
      </c>
      <c r="J75" s="12">
        <v>3</v>
      </c>
      <c r="K75" s="12">
        <v>1.98</v>
      </c>
      <c r="L75" s="13">
        <f t="shared" si="9"/>
        <v>475.20000000007764</v>
      </c>
      <c r="M75" s="12"/>
      <c r="N75" s="12"/>
      <c r="O75" s="12"/>
      <c r="P75" s="12"/>
      <c r="Q75" s="12"/>
      <c r="R75" s="14"/>
      <c r="S75" s="14"/>
      <c r="T75" s="12"/>
      <c r="U75" s="12"/>
      <c r="V75" s="14"/>
      <c r="W75" s="14">
        <v>2</v>
      </c>
      <c r="X75" s="12"/>
      <c r="Y75" s="12"/>
      <c r="Z75" s="12"/>
      <c r="AA75" s="12"/>
      <c r="AB75" s="12"/>
      <c r="AC75" s="12">
        <v>1</v>
      </c>
      <c r="AD75" s="12"/>
      <c r="AE75" s="12"/>
      <c r="AF75" s="12"/>
      <c r="AG75" s="12"/>
      <c r="AH75" s="12"/>
      <c r="AI75" s="12"/>
      <c r="AJ75" s="12"/>
      <c r="AK75" s="12"/>
      <c r="AL75" s="12"/>
      <c r="AM75" s="16"/>
    </row>
    <row r="76" spans="2:39" ht="25.05" customHeight="1">
      <c r="B76" s="15"/>
      <c r="C76" s="35"/>
      <c r="D76" s="23"/>
      <c r="E76" s="19"/>
      <c r="F76" s="9" t="s">
        <v>44</v>
      </c>
      <c r="G76" s="10"/>
      <c r="H76" s="10"/>
      <c r="I76" s="11">
        <f t="shared" si="8"/>
        <v>0</v>
      </c>
      <c r="J76" s="12"/>
      <c r="K76" s="12"/>
      <c r="L76" s="13" t="str">
        <f t="shared" si="9"/>
        <v>0</v>
      </c>
      <c r="M76" s="12"/>
      <c r="N76" s="12"/>
      <c r="O76" s="12"/>
      <c r="P76" s="12"/>
      <c r="Q76" s="12"/>
      <c r="R76" s="14"/>
      <c r="S76" s="14"/>
      <c r="T76" s="12"/>
      <c r="U76" s="12"/>
      <c r="V76" s="14"/>
      <c r="W76" s="14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6"/>
    </row>
    <row r="77" spans="2:39" ht="25.05" customHeight="1">
      <c r="B77" s="15"/>
      <c r="C77" s="35"/>
      <c r="D77" s="23" t="s">
        <v>120</v>
      </c>
      <c r="E77" s="19" t="s">
        <v>121</v>
      </c>
      <c r="F77" s="9" t="s">
        <v>44</v>
      </c>
      <c r="G77" s="10">
        <v>0.40902777777777777</v>
      </c>
      <c r="H77" s="10">
        <v>0.44097222222222221</v>
      </c>
      <c r="I77" s="11">
        <f t="shared" si="8"/>
        <v>3.1944444444444442E-2</v>
      </c>
      <c r="J77" s="12">
        <v>4</v>
      </c>
      <c r="K77" s="12">
        <v>90.52</v>
      </c>
      <c r="L77" s="13">
        <f t="shared" si="9"/>
        <v>29.517391304347825</v>
      </c>
      <c r="M77" s="12"/>
      <c r="N77" s="12"/>
      <c r="O77" s="12"/>
      <c r="P77" s="12"/>
      <c r="Q77" s="12"/>
      <c r="R77" s="14"/>
      <c r="S77" s="14"/>
      <c r="T77" s="12"/>
      <c r="U77" s="12"/>
      <c r="V77" s="14">
        <v>2</v>
      </c>
      <c r="W77" s="14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>
        <v>15.33</v>
      </c>
      <c r="AI77" s="12">
        <v>15.33</v>
      </c>
      <c r="AJ77" s="12">
        <v>15.33</v>
      </c>
      <c r="AK77" s="12"/>
      <c r="AL77" s="12"/>
      <c r="AM77" s="16"/>
    </row>
    <row r="78" spans="2:39" ht="25.05" customHeight="1">
      <c r="B78" s="15"/>
      <c r="C78" s="35"/>
      <c r="D78" s="23"/>
      <c r="E78" s="19" t="s">
        <v>122</v>
      </c>
      <c r="F78" s="9" t="s">
        <v>44</v>
      </c>
      <c r="G78" s="10">
        <v>0.44166666666666665</v>
      </c>
      <c r="H78" s="10">
        <v>0.47222222222222221</v>
      </c>
      <c r="I78" s="11">
        <f t="shared" si="8"/>
        <v>3.0555555555555558E-2</v>
      </c>
      <c r="J78" s="12">
        <v>4</v>
      </c>
      <c r="K78" s="12">
        <v>84.89</v>
      </c>
      <c r="L78" s="13">
        <f t="shared" si="9"/>
        <v>28.939772727272725</v>
      </c>
      <c r="M78" s="12"/>
      <c r="N78" s="12"/>
      <c r="O78" s="12"/>
      <c r="P78" s="12"/>
      <c r="Q78" s="12"/>
      <c r="R78" s="14"/>
      <c r="S78" s="14"/>
      <c r="T78" s="12"/>
      <c r="U78" s="12"/>
      <c r="V78" s="14">
        <v>2</v>
      </c>
      <c r="W78" s="14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>
        <v>14.66</v>
      </c>
      <c r="AI78" s="12">
        <v>14.66</v>
      </c>
      <c r="AJ78" s="12">
        <v>14.66</v>
      </c>
      <c r="AK78" s="12"/>
      <c r="AL78" s="12"/>
      <c r="AM78" s="16"/>
    </row>
    <row r="79" spans="2:39" ht="25.05" customHeight="1">
      <c r="B79" s="15"/>
      <c r="C79" s="35"/>
      <c r="D79" s="23"/>
      <c r="E79" s="19" t="s">
        <v>123</v>
      </c>
      <c r="F79" s="9" t="s">
        <v>44</v>
      </c>
      <c r="G79" s="10">
        <v>0.5444444444444444</v>
      </c>
      <c r="H79" s="10">
        <v>0.57152777777777775</v>
      </c>
      <c r="I79" s="11">
        <f t="shared" si="8"/>
        <v>2.7083333333333348E-2</v>
      </c>
      <c r="J79" s="12">
        <v>4</v>
      </c>
      <c r="K79" s="12">
        <v>87.4</v>
      </c>
      <c r="L79" s="13">
        <f t="shared" si="9"/>
        <v>33.615384615384599</v>
      </c>
      <c r="M79" s="12"/>
      <c r="N79" s="12"/>
      <c r="O79" s="12"/>
      <c r="P79" s="12"/>
      <c r="Q79" s="12"/>
      <c r="R79" s="14"/>
      <c r="S79" s="14"/>
      <c r="T79" s="12"/>
      <c r="U79" s="12"/>
      <c r="V79" s="14">
        <v>2</v>
      </c>
      <c r="W79" s="14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>
        <f>39/3</f>
        <v>13</v>
      </c>
      <c r="AI79" s="12">
        <f>39/3</f>
        <v>13</v>
      </c>
      <c r="AJ79" s="12">
        <f>39/3</f>
        <v>13</v>
      </c>
      <c r="AK79" s="12"/>
      <c r="AL79" s="12"/>
      <c r="AM79" s="16"/>
    </row>
    <row r="80" spans="2:39" ht="25.05" customHeight="1">
      <c r="B80" s="15"/>
      <c r="C80" s="35"/>
      <c r="D80" s="23"/>
      <c r="E80" s="19" t="s">
        <v>124</v>
      </c>
      <c r="F80" s="9" t="s">
        <v>44</v>
      </c>
      <c r="G80" s="10">
        <v>0.57291666666666663</v>
      </c>
      <c r="H80" s="10">
        <v>0.59930555555555554</v>
      </c>
      <c r="I80" s="11">
        <f t="shared" si="8"/>
        <v>2.6388888888888906E-2</v>
      </c>
      <c r="J80" s="12">
        <v>4</v>
      </c>
      <c r="K80" s="12">
        <v>85.83</v>
      </c>
      <c r="L80" s="13">
        <f t="shared" si="9"/>
        <v>33.88026315789471</v>
      </c>
      <c r="M80" s="12"/>
      <c r="N80" s="12"/>
      <c r="O80" s="12"/>
      <c r="P80" s="12"/>
      <c r="Q80" s="12"/>
      <c r="R80" s="14"/>
      <c r="S80" s="14"/>
      <c r="T80" s="12"/>
      <c r="U80" s="12"/>
      <c r="V80" s="14">
        <v>2</v>
      </c>
      <c r="W80" s="14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4">
        <f>38/3</f>
        <v>12.666666666666666</v>
      </c>
      <c r="AI80" s="14">
        <f>38/3</f>
        <v>12.666666666666666</v>
      </c>
      <c r="AJ80" s="14">
        <f>38/3</f>
        <v>12.666666666666666</v>
      </c>
      <c r="AK80" s="12"/>
      <c r="AL80" s="12"/>
      <c r="AM80" s="16"/>
    </row>
    <row r="81" spans="2:39" ht="25.05" customHeight="1">
      <c r="B81" s="15"/>
      <c r="C81" s="35"/>
      <c r="D81" s="23"/>
      <c r="E81" s="19" t="s">
        <v>125</v>
      </c>
      <c r="F81" s="9" t="s">
        <v>44</v>
      </c>
      <c r="G81" s="10">
        <v>0.6</v>
      </c>
      <c r="H81" s="10">
        <v>0.63124999999999998</v>
      </c>
      <c r="I81" s="11">
        <f t="shared" si="8"/>
        <v>3.125E-2</v>
      </c>
      <c r="J81" s="12">
        <v>4</v>
      </c>
      <c r="K81" s="12">
        <v>86.68</v>
      </c>
      <c r="L81" s="13">
        <f t="shared" si="9"/>
        <v>28.893333333333334</v>
      </c>
      <c r="M81" s="12"/>
      <c r="N81" s="12"/>
      <c r="O81" s="12"/>
      <c r="P81" s="12"/>
      <c r="Q81" s="12"/>
      <c r="R81" s="14"/>
      <c r="S81" s="14"/>
      <c r="T81" s="12"/>
      <c r="U81" s="12"/>
      <c r="V81" s="14">
        <v>2</v>
      </c>
      <c r="W81" s="14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>
        <f>45/3</f>
        <v>15</v>
      </c>
      <c r="AI81" s="12">
        <f>45/3</f>
        <v>15</v>
      </c>
      <c r="AJ81" s="12">
        <f>45/3</f>
        <v>15</v>
      </c>
      <c r="AK81" s="12"/>
      <c r="AL81" s="12"/>
      <c r="AM81" s="16"/>
    </row>
    <row r="82" spans="2:39" ht="25.05" customHeight="1">
      <c r="B82" s="15"/>
      <c r="C82" s="35"/>
      <c r="D82" s="23"/>
      <c r="E82" s="19" t="s">
        <v>126</v>
      </c>
      <c r="F82" s="9" t="s">
        <v>44</v>
      </c>
      <c r="G82" s="10">
        <v>0.63194444444444442</v>
      </c>
      <c r="H82" s="10">
        <v>0.65833333333333333</v>
      </c>
      <c r="I82" s="11">
        <f t="shared" si="8"/>
        <v>2.6388888888888906E-2</v>
      </c>
      <c r="J82" s="12">
        <v>4</v>
      </c>
      <c r="K82" s="12">
        <v>87.52</v>
      </c>
      <c r="L82" s="13">
        <f t="shared" si="9"/>
        <v>34.547368421052603</v>
      </c>
      <c r="M82" s="12"/>
      <c r="N82" s="12"/>
      <c r="O82" s="12"/>
      <c r="P82" s="12"/>
      <c r="Q82" s="12"/>
      <c r="R82" s="14"/>
      <c r="S82" s="14"/>
      <c r="T82" s="12"/>
      <c r="U82" s="12"/>
      <c r="V82" s="14">
        <v>2</v>
      </c>
      <c r="W82" s="14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4">
        <f>38/3</f>
        <v>12.666666666666666</v>
      </c>
      <c r="AI82" s="14">
        <f>38/3</f>
        <v>12.666666666666666</v>
      </c>
      <c r="AJ82" s="14">
        <f>38/3</f>
        <v>12.666666666666666</v>
      </c>
      <c r="AK82" s="12"/>
      <c r="AL82" s="12"/>
      <c r="AM82" s="16"/>
    </row>
    <row r="83" spans="2:39" ht="25.05" customHeight="1">
      <c r="B83" s="15"/>
      <c r="C83" s="35"/>
      <c r="D83" s="23"/>
      <c r="E83" s="19" t="s">
        <v>127</v>
      </c>
      <c r="F83" s="9" t="s">
        <v>44</v>
      </c>
      <c r="G83" s="10">
        <v>0.65902777777777777</v>
      </c>
      <c r="H83" s="10">
        <v>0.68333333333333335</v>
      </c>
      <c r="I83" s="11">
        <f t="shared" si="8"/>
        <v>2.430555555555558E-2</v>
      </c>
      <c r="J83" s="12">
        <v>4</v>
      </c>
      <c r="K83" s="12">
        <v>86.63</v>
      </c>
      <c r="L83" s="13">
        <f t="shared" si="9"/>
        <v>37.127142857142822</v>
      </c>
      <c r="M83" s="12"/>
      <c r="N83" s="12"/>
      <c r="O83" s="12"/>
      <c r="P83" s="12"/>
      <c r="Q83" s="12"/>
      <c r="R83" s="14"/>
      <c r="S83" s="14"/>
      <c r="T83" s="12"/>
      <c r="U83" s="12"/>
      <c r="V83" s="14">
        <v>2</v>
      </c>
      <c r="W83" s="14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4">
        <f>35/3</f>
        <v>11.666666666666666</v>
      </c>
      <c r="AI83" s="14">
        <f>35/3</f>
        <v>11.666666666666666</v>
      </c>
      <c r="AJ83" s="14">
        <f>35/3</f>
        <v>11.666666666666666</v>
      </c>
      <c r="AK83" s="12"/>
      <c r="AL83" s="12"/>
      <c r="AM83" s="16"/>
    </row>
    <row r="84" spans="2:39" ht="25.05" customHeight="1">
      <c r="B84" s="15"/>
      <c r="C84" s="35"/>
      <c r="D84" s="23"/>
      <c r="E84" s="19" t="s">
        <v>128</v>
      </c>
      <c r="F84" s="9" t="s">
        <v>44</v>
      </c>
      <c r="G84" s="10">
        <v>0.68472222222222223</v>
      </c>
      <c r="H84" s="10">
        <v>0.70833333333333337</v>
      </c>
      <c r="I84" s="11">
        <f t="shared" si="8"/>
        <v>2.3611111111111138E-2</v>
      </c>
      <c r="J84" s="12">
        <v>4</v>
      </c>
      <c r="K84" s="12">
        <v>85.55</v>
      </c>
      <c r="L84" s="13">
        <f t="shared" si="9"/>
        <v>37.742647058823486</v>
      </c>
      <c r="M84" s="12"/>
      <c r="N84" s="12"/>
      <c r="O84" s="12"/>
      <c r="P84" s="12"/>
      <c r="Q84" s="12"/>
      <c r="R84" s="14"/>
      <c r="S84" s="14"/>
      <c r="T84" s="12"/>
      <c r="U84" s="12"/>
      <c r="V84" s="14">
        <v>2</v>
      </c>
      <c r="W84" s="14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4">
        <f>34/3</f>
        <v>11.333333333333334</v>
      </c>
      <c r="AI84" s="14">
        <f>34/3</f>
        <v>11.333333333333334</v>
      </c>
      <c r="AJ84" s="14">
        <f>34/3</f>
        <v>11.333333333333334</v>
      </c>
      <c r="AK84" s="12"/>
      <c r="AL84" s="12"/>
      <c r="AM84" s="16"/>
    </row>
    <row r="85" spans="2:39" ht="25.05" customHeight="1">
      <c r="B85" s="15"/>
      <c r="C85" s="35"/>
      <c r="D85" s="23"/>
      <c r="E85" s="19" t="s">
        <v>129</v>
      </c>
      <c r="F85" s="9" t="s">
        <v>44</v>
      </c>
      <c r="G85" s="10">
        <v>0.60069444444444442</v>
      </c>
      <c r="H85" s="10">
        <v>0.61041666666666672</v>
      </c>
      <c r="I85" s="11">
        <f t="shared" si="8"/>
        <v>9.7222222222222987E-3</v>
      </c>
      <c r="J85" s="12">
        <v>4</v>
      </c>
      <c r="K85" s="12">
        <v>49.56</v>
      </c>
      <c r="L85" s="13">
        <f t="shared" si="9"/>
        <v>53.099999999999589</v>
      </c>
      <c r="M85" s="12"/>
      <c r="N85" s="12"/>
      <c r="O85" s="12"/>
      <c r="P85" s="12"/>
      <c r="Q85" s="12"/>
      <c r="R85" s="14"/>
      <c r="S85" s="14"/>
      <c r="T85" s="12"/>
      <c r="U85" s="12"/>
      <c r="V85" s="14"/>
      <c r="W85" s="14">
        <v>2</v>
      </c>
      <c r="X85" s="12"/>
      <c r="Y85" s="12"/>
      <c r="Z85" s="12"/>
      <c r="AA85" s="12"/>
      <c r="AB85" s="12"/>
      <c r="AC85" s="12"/>
      <c r="AD85" s="12"/>
      <c r="AE85" s="12">
        <v>14</v>
      </c>
      <c r="AF85" s="12"/>
      <c r="AG85" s="12"/>
      <c r="AH85" s="12"/>
      <c r="AI85" s="12"/>
      <c r="AJ85" s="12"/>
      <c r="AK85" s="12"/>
      <c r="AL85" s="12"/>
      <c r="AM85" s="16"/>
    </row>
    <row r="86" spans="2:39" ht="25.05" customHeight="1">
      <c r="B86" s="15"/>
      <c r="C86" s="35"/>
      <c r="D86" s="23"/>
      <c r="E86" s="19" t="s">
        <v>130</v>
      </c>
      <c r="F86" s="9" t="s">
        <v>44</v>
      </c>
      <c r="G86" s="10">
        <v>0.60138888888888886</v>
      </c>
      <c r="H86" s="10">
        <v>0.61111111111111116</v>
      </c>
      <c r="I86" s="11">
        <f t="shared" si="8"/>
        <v>9.7222222222222987E-3</v>
      </c>
      <c r="J86" s="12">
        <v>4</v>
      </c>
      <c r="K86" s="12">
        <v>48.11</v>
      </c>
      <c r="L86" s="13">
        <f t="shared" si="9"/>
        <v>51.546428571428159</v>
      </c>
      <c r="M86" s="12"/>
      <c r="N86" s="12"/>
      <c r="O86" s="12"/>
      <c r="P86" s="12"/>
      <c r="Q86" s="12"/>
      <c r="R86" s="14"/>
      <c r="S86" s="14"/>
      <c r="T86" s="12"/>
      <c r="U86" s="12"/>
      <c r="V86" s="14"/>
      <c r="W86" s="14">
        <v>2</v>
      </c>
      <c r="X86" s="12"/>
      <c r="Y86" s="12"/>
      <c r="Z86" s="12"/>
      <c r="AA86" s="12"/>
      <c r="AB86" s="12"/>
      <c r="AC86" s="12"/>
      <c r="AD86" s="12">
        <v>14</v>
      </c>
      <c r="AE86" s="12"/>
      <c r="AF86" s="12"/>
      <c r="AG86" s="12"/>
      <c r="AH86" s="12"/>
      <c r="AI86" s="12"/>
      <c r="AJ86" s="12"/>
      <c r="AK86" s="12"/>
      <c r="AL86" s="12"/>
      <c r="AM86" s="16"/>
    </row>
    <row r="87" spans="2:39" ht="25.05" customHeight="1">
      <c r="B87" s="15"/>
      <c r="C87" s="35"/>
      <c r="D87" s="23"/>
      <c r="E87" s="19" t="s">
        <v>131</v>
      </c>
      <c r="F87" s="9" t="s">
        <v>44</v>
      </c>
      <c r="G87" s="10">
        <v>0.61527777777777781</v>
      </c>
      <c r="H87" s="10">
        <v>0.62430555555555556</v>
      </c>
      <c r="I87" s="11">
        <f t="shared" si="8"/>
        <v>9.0277777777777457E-3</v>
      </c>
      <c r="J87" s="12">
        <v>4</v>
      </c>
      <c r="K87" s="12">
        <v>45.69</v>
      </c>
      <c r="L87" s="13">
        <f t="shared" si="9"/>
        <v>52.719230769230954</v>
      </c>
      <c r="M87" s="12"/>
      <c r="N87" s="12"/>
      <c r="O87" s="12"/>
      <c r="P87" s="12"/>
      <c r="Q87" s="12"/>
      <c r="R87" s="14"/>
      <c r="S87" s="14"/>
      <c r="T87" s="12"/>
      <c r="U87" s="12"/>
      <c r="V87" s="14"/>
      <c r="W87" s="14">
        <v>2</v>
      </c>
      <c r="X87" s="12"/>
      <c r="Y87" s="12"/>
      <c r="Z87" s="12"/>
      <c r="AA87" s="12"/>
      <c r="AB87" s="12"/>
      <c r="AC87" s="12"/>
      <c r="AD87" s="12"/>
      <c r="AE87" s="12">
        <v>13</v>
      </c>
      <c r="AF87" s="12"/>
      <c r="AG87" s="12"/>
      <c r="AH87" s="12"/>
      <c r="AI87" s="12"/>
      <c r="AJ87" s="12"/>
      <c r="AK87" s="12"/>
      <c r="AL87" s="12"/>
      <c r="AM87" s="16"/>
    </row>
    <row r="88" spans="2:39" ht="25.05" customHeight="1">
      <c r="B88" s="15"/>
      <c r="C88" s="35"/>
      <c r="D88" s="23"/>
      <c r="E88" s="19" t="s">
        <v>132</v>
      </c>
      <c r="F88" s="9" t="s">
        <v>44</v>
      </c>
      <c r="G88" s="10">
        <v>0.6166666666666667</v>
      </c>
      <c r="H88" s="10">
        <v>0.625</v>
      </c>
      <c r="I88" s="11">
        <f t="shared" si="8"/>
        <v>8.3333333333333037E-3</v>
      </c>
      <c r="J88" s="12">
        <v>4</v>
      </c>
      <c r="K88" s="12">
        <v>49.69</v>
      </c>
      <c r="L88" s="13">
        <f t="shared" si="9"/>
        <v>62.112500000000217</v>
      </c>
      <c r="M88" s="12"/>
      <c r="N88" s="12"/>
      <c r="O88" s="12"/>
      <c r="P88" s="12"/>
      <c r="Q88" s="12"/>
      <c r="R88" s="14"/>
      <c r="S88" s="14"/>
      <c r="T88" s="12"/>
      <c r="U88" s="12"/>
      <c r="V88" s="14"/>
      <c r="W88" s="14">
        <v>2</v>
      </c>
      <c r="X88" s="12"/>
      <c r="Y88" s="12"/>
      <c r="Z88" s="12"/>
      <c r="AA88" s="12"/>
      <c r="AB88" s="12"/>
      <c r="AC88" s="12"/>
      <c r="AD88" s="12">
        <v>12</v>
      </c>
      <c r="AE88" s="12"/>
      <c r="AF88" s="12"/>
      <c r="AG88" s="12"/>
      <c r="AH88" s="12"/>
      <c r="AI88" s="12"/>
      <c r="AJ88" s="12"/>
      <c r="AK88" s="12"/>
      <c r="AL88" s="12"/>
      <c r="AM88" s="16"/>
    </row>
    <row r="89" spans="2:39" ht="25.05" customHeight="1">
      <c r="B89" s="15"/>
      <c r="C89" s="35"/>
      <c r="D89" s="23"/>
      <c r="E89" s="19" t="s">
        <v>133</v>
      </c>
      <c r="F89" s="9" t="s">
        <v>44</v>
      </c>
      <c r="G89" s="10">
        <v>0.63194444444444442</v>
      </c>
      <c r="H89" s="10">
        <v>0.64027777777777772</v>
      </c>
      <c r="I89" s="11">
        <f t="shared" si="8"/>
        <v>8.3333333333333037E-3</v>
      </c>
      <c r="J89" s="12">
        <v>4</v>
      </c>
      <c r="K89" s="12">
        <v>9.34</v>
      </c>
      <c r="L89" s="13">
        <f t="shared" si="9"/>
        <v>11.675000000000042</v>
      </c>
      <c r="M89" s="12"/>
      <c r="N89" s="12"/>
      <c r="O89" s="12"/>
      <c r="P89" s="12"/>
      <c r="Q89" s="12"/>
      <c r="R89" s="14"/>
      <c r="S89" s="14"/>
      <c r="T89" s="12"/>
      <c r="U89" s="12"/>
      <c r="V89" s="14"/>
      <c r="W89" s="14">
        <v>2</v>
      </c>
      <c r="X89" s="12"/>
      <c r="Y89" s="12"/>
      <c r="Z89" s="12"/>
      <c r="AA89" s="12"/>
      <c r="AB89" s="12"/>
      <c r="AC89" s="12"/>
      <c r="AD89" s="12"/>
      <c r="AE89" s="12">
        <v>12</v>
      </c>
      <c r="AF89" s="12"/>
      <c r="AG89" s="12"/>
      <c r="AH89" s="12"/>
      <c r="AI89" s="12"/>
      <c r="AJ89" s="12"/>
      <c r="AK89" s="12"/>
      <c r="AL89" s="12"/>
      <c r="AM89" s="16"/>
    </row>
    <row r="90" spans="2:39" ht="25.05" customHeight="1">
      <c r="B90" s="15"/>
      <c r="C90" s="35"/>
      <c r="D90" s="23"/>
      <c r="E90" s="19" t="s">
        <v>134</v>
      </c>
      <c r="F90" s="9" t="s">
        <v>44</v>
      </c>
      <c r="G90" s="10">
        <v>0.63263888888888886</v>
      </c>
      <c r="H90" s="10">
        <v>0.64097222222222228</v>
      </c>
      <c r="I90" s="11">
        <f t="shared" si="8"/>
        <v>8.3333333333334147E-3</v>
      </c>
      <c r="J90" s="12">
        <v>4</v>
      </c>
      <c r="K90" s="12">
        <v>48.1</v>
      </c>
      <c r="L90" s="13">
        <f t="shared" si="9"/>
        <v>60.12499999999941</v>
      </c>
      <c r="M90" s="12"/>
      <c r="N90" s="12"/>
      <c r="O90" s="12"/>
      <c r="P90" s="12"/>
      <c r="Q90" s="12"/>
      <c r="R90" s="14"/>
      <c r="S90" s="14"/>
      <c r="T90" s="12"/>
      <c r="U90" s="12"/>
      <c r="V90" s="14"/>
      <c r="W90" s="14">
        <v>2</v>
      </c>
      <c r="X90" s="12"/>
      <c r="Y90" s="12"/>
      <c r="Z90" s="12"/>
      <c r="AA90" s="12"/>
      <c r="AB90" s="12"/>
      <c r="AC90" s="12"/>
      <c r="AD90" s="12">
        <v>12</v>
      </c>
      <c r="AE90" s="12"/>
      <c r="AF90" s="12"/>
      <c r="AG90" s="12"/>
      <c r="AH90" s="12"/>
      <c r="AI90" s="12"/>
      <c r="AJ90" s="12"/>
      <c r="AK90" s="12"/>
      <c r="AL90" s="12"/>
      <c r="AM90" s="16"/>
    </row>
    <row r="91" spans="2:39" ht="25.05" customHeight="1">
      <c r="B91" s="15"/>
      <c r="C91" s="35"/>
      <c r="D91" s="23"/>
      <c r="E91" s="19" t="s">
        <v>135</v>
      </c>
      <c r="F91" s="9" t="s">
        <v>44</v>
      </c>
      <c r="G91" s="10">
        <v>0.64861111111111114</v>
      </c>
      <c r="H91" s="10">
        <v>0.65763888888888888</v>
      </c>
      <c r="I91" s="11">
        <f t="shared" si="8"/>
        <v>9.0277777777777457E-3</v>
      </c>
      <c r="J91" s="12">
        <v>4</v>
      </c>
      <c r="K91" s="12">
        <v>48.6</v>
      </c>
      <c r="L91" s="13">
        <f t="shared" si="9"/>
        <v>56.076923076923272</v>
      </c>
      <c r="M91" s="12"/>
      <c r="N91" s="12"/>
      <c r="O91" s="12"/>
      <c r="P91" s="12"/>
      <c r="Q91" s="12"/>
      <c r="R91" s="14"/>
      <c r="S91" s="14"/>
      <c r="T91" s="12"/>
      <c r="U91" s="12"/>
      <c r="V91" s="14"/>
      <c r="W91" s="14">
        <v>2</v>
      </c>
      <c r="X91" s="12"/>
      <c r="Y91" s="12"/>
      <c r="Z91" s="12"/>
      <c r="AA91" s="12"/>
      <c r="AB91" s="12"/>
      <c r="AC91" s="12"/>
      <c r="AD91" s="12"/>
      <c r="AE91" s="12">
        <v>13</v>
      </c>
      <c r="AF91" s="12"/>
      <c r="AG91" s="12"/>
      <c r="AH91" s="12"/>
      <c r="AI91" s="12"/>
      <c r="AJ91" s="12"/>
      <c r="AK91" s="12"/>
      <c r="AL91" s="12"/>
      <c r="AM91" s="16"/>
    </row>
    <row r="92" spans="2:39" ht="25.05" customHeight="1">
      <c r="B92" s="15"/>
      <c r="C92" s="35"/>
      <c r="D92" s="23"/>
      <c r="E92" s="19" t="s">
        <v>136</v>
      </c>
      <c r="F92" s="9" t="s">
        <v>44</v>
      </c>
      <c r="G92" s="10">
        <v>0.3972222222222222</v>
      </c>
      <c r="H92" s="10">
        <v>0.41388888888888886</v>
      </c>
      <c r="I92" s="11">
        <f t="shared" si="8"/>
        <v>1.6666666666666663E-2</v>
      </c>
      <c r="J92" s="12">
        <v>4</v>
      </c>
      <c r="K92" s="12">
        <v>89.66</v>
      </c>
      <c r="L92" s="13">
        <f t="shared" si="9"/>
        <v>56.037500000000016</v>
      </c>
      <c r="M92" s="12"/>
      <c r="N92" s="12"/>
      <c r="O92" s="12"/>
      <c r="P92" s="12"/>
      <c r="Q92" s="12"/>
      <c r="R92" s="14"/>
      <c r="S92" s="14"/>
      <c r="T92" s="12"/>
      <c r="U92" s="12"/>
      <c r="V92" s="14">
        <v>2</v>
      </c>
      <c r="W92" s="14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6"/>
    </row>
    <row r="93" spans="2:39" ht="25.05" customHeight="1">
      <c r="B93" s="15"/>
      <c r="C93" s="35"/>
      <c r="D93" s="23"/>
      <c r="E93" s="19" t="s">
        <v>137</v>
      </c>
      <c r="F93" s="9" t="s">
        <v>44</v>
      </c>
      <c r="G93" s="10">
        <v>0.43888888888888888</v>
      </c>
      <c r="H93" s="10">
        <v>0.47013888888888888</v>
      </c>
      <c r="I93" s="11">
        <f t="shared" si="8"/>
        <v>3.125E-2</v>
      </c>
      <c r="J93" s="12">
        <v>4</v>
      </c>
      <c r="K93" s="12">
        <v>60.71</v>
      </c>
      <c r="L93" s="13">
        <f t="shared" si="9"/>
        <v>20.236666666666668</v>
      </c>
      <c r="M93" s="12"/>
      <c r="N93" s="12"/>
      <c r="O93" s="12"/>
      <c r="P93" s="12"/>
      <c r="Q93" s="12"/>
      <c r="R93" s="14"/>
      <c r="S93" s="14"/>
      <c r="T93" s="12"/>
      <c r="U93" s="12"/>
      <c r="V93" s="14">
        <v>2</v>
      </c>
      <c r="W93" s="14"/>
      <c r="X93" s="12"/>
      <c r="Y93" s="12"/>
      <c r="Z93" s="12"/>
      <c r="AA93" s="12"/>
      <c r="AB93" s="12"/>
      <c r="AC93" s="12"/>
      <c r="AD93" s="12"/>
      <c r="AE93" s="12"/>
      <c r="AF93" s="12">
        <v>45</v>
      </c>
      <c r="AG93" s="12"/>
      <c r="AH93" s="12"/>
      <c r="AI93" s="12"/>
      <c r="AJ93" s="12"/>
      <c r="AK93" s="12"/>
      <c r="AL93" s="12"/>
      <c r="AM93" s="16"/>
    </row>
    <row r="94" spans="2:39" ht="25.05" customHeight="1">
      <c r="B94" s="15"/>
      <c r="C94" s="35"/>
      <c r="D94" s="23"/>
      <c r="E94" s="19" t="s">
        <v>138</v>
      </c>
      <c r="F94" s="9" t="s">
        <v>44</v>
      </c>
      <c r="G94" s="10">
        <v>0.43888888888888888</v>
      </c>
      <c r="H94" s="10">
        <v>0.47013888888888888</v>
      </c>
      <c r="I94" s="11">
        <f t="shared" si="8"/>
        <v>3.125E-2</v>
      </c>
      <c r="J94" s="12">
        <v>4</v>
      </c>
      <c r="K94" s="12">
        <v>60.71</v>
      </c>
      <c r="L94" s="13">
        <f>IFERROR(((K94/(J94*I94)/24)),"0")</f>
        <v>20.236666666666668</v>
      </c>
      <c r="M94" s="12"/>
      <c r="N94" s="12"/>
      <c r="O94" s="12"/>
      <c r="P94" s="12"/>
      <c r="Q94" s="12"/>
      <c r="R94" s="14"/>
      <c r="S94" s="14"/>
      <c r="T94" s="12"/>
      <c r="U94" s="12"/>
      <c r="V94" s="14">
        <v>2</v>
      </c>
      <c r="W94" s="14"/>
      <c r="X94" s="12"/>
      <c r="Y94" s="12"/>
      <c r="Z94" s="12"/>
      <c r="AA94" s="12"/>
      <c r="AB94" s="12"/>
      <c r="AC94" s="12"/>
      <c r="AD94" s="12"/>
      <c r="AE94" s="12"/>
      <c r="AF94" s="12">
        <v>45</v>
      </c>
      <c r="AG94" s="12"/>
      <c r="AH94" s="12"/>
      <c r="AI94" s="12"/>
      <c r="AJ94" s="12"/>
      <c r="AK94" s="12"/>
      <c r="AL94" s="12"/>
      <c r="AM94" s="16"/>
    </row>
    <row r="95" spans="2:39" s="47" customFormat="1" ht="25.05" customHeight="1">
      <c r="B95" s="36"/>
      <c r="C95" s="37"/>
      <c r="D95" s="38"/>
      <c r="E95" s="39" t="s">
        <v>139</v>
      </c>
      <c r="F95" s="40" t="s">
        <v>44</v>
      </c>
      <c r="G95" s="41">
        <v>0.63263888888888886</v>
      </c>
      <c r="H95" s="41">
        <v>0.64444444444444449</v>
      </c>
      <c r="I95" s="42">
        <f t="shared" si="8"/>
        <v>1.1805555555555625E-2</v>
      </c>
      <c r="J95" s="43">
        <v>4</v>
      </c>
      <c r="K95" s="43">
        <v>33.79</v>
      </c>
      <c r="L95" s="44">
        <f t="shared" si="9"/>
        <v>29.814705882352765</v>
      </c>
      <c r="M95" s="43"/>
      <c r="N95" s="43"/>
      <c r="O95" s="43"/>
      <c r="P95" s="43"/>
      <c r="Q95" s="43"/>
      <c r="R95" s="45"/>
      <c r="S95" s="45"/>
      <c r="T95" s="43"/>
      <c r="U95" s="43"/>
      <c r="V95" s="45">
        <v>2</v>
      </c>
      <c r="W95" s="45"/>
      <c r="X95" s="45"/>
      <c r="Y95" s="45"/>
      <c r="Z95" s="45"/>
      <c r="AA95" s="43"/>
      <c r="AB95" s="43"/>
      <c r="AC95" s="43"/>
      <c r="AD95" s="43">
        <v>17</v>
      </c>
      <c r="AE95" s="43"/>
      <c r="AF95" s="43"/>
      <c r="AG95" s="43"/>
      <c r="AH95" s="43"/>
      <c r="AI95" s="43"/>
      <c r="AJ95" s="43"/>
      <c r="AK95" s="43"/>
      <c r="AL95" s="43"/>
      <c r="AM95" s="46"/>
    </row>
    <row r="96" spans="2:39" ht="25.05" customHeight="1">
      <c r="B96" s="15"/>
      <c r="C96" s="35"/>
      <c r="D96" s="23"/>
      <c r="E96" s="30" t="s">
        <v>140</v>
      </c>
      <c r="F96" s="48" t="s">
        <v>44</v>
      </c>
      <c r="G96" s="31">
        <v>0.55902777777777779</v>
      </c>
      <c r="H96" s="31">
        <v>0.5625</v>
      </c>
      <c r="I96" s="32">
        <f t="shared" si="8"/>
        <v>3.4722222222222099E-3</v>
      </c>
      <c r="J96" s="18">
        <v>4</v>
      </c>
      <c r="K96" s="18">
        <v>5.7</v>
      </c>
      <c r="L96" s="13">
        <f t="shared" si="9"/>
        <v>17.100000000000062</v>
      </c>
      <c r="M96" s="12"/>
      <c r="N96" s="12"/>
      <c r="O96" s="12"/>
      <c r="P96" s="12"/>
      <c r="Q96" s="12"/>
      <c r="R96" s="14"/>
      <c r="S96" s="14"/>
      <c r="T96" s="12"/>
      <c r="U96" s="12"/>
      <c r="V96" s="14">
        <v>2</v>
      </c>
      <c r="W96" s="14"/>
      <c r="X96" s="14"/>
      <c r="Y96" s="14"/>
      <c r="Z96" s="14"/>
      <c r="AA96" s="12"/>
      <c r="AB96" s="12"/>
      <c r="AC96" s="12"/>
      <c r="AD96" s="12">
        <v>17</v>
      </c>
      <c r="AE96" s="12"/>
      <c r="AF96" s="12"/>
      <c r="AG96" s="12"/>
      <c r="AH96" s="12"/>
      <c r="AI96" s="12"/>
      <c r="AJ96" s="12"/>
      <c r="AK96" s="12"/>
      <c r="AL96" s="12"/>
      <c r="AM96" s="16"/>
    </row>
    <row r="97" spans="2:39" ht="25.05" customHeight="1">
      <c r="B97" s="49"/>
      <c r="C97" s="50"/>
      <c r="D97" s="51"/>
      <c r="E97" s="19" t="s">
        <v>141</v>
      </c>
      <c r="F97" s="9" t="s">
        <v>44</v>
      </c>
      <c r="G97" s="52">
        <v>0.7583333333333333</v>
      </c>
      <c r="H97" s="52">
        <v>0.76597222222222228</v>
      </c>
      <c r="I97" s="11">
        <f t="shared" ref="I97:I116" si="10">H97-G97</f>
        <v>7.6388888888889728E-3</v>
      </c>
      <c r="J97" s="53">
        <v>4</v>
      </c>
      <c r="K97" s="53">
        <v>76.97</v>
      </c>
      <c r="L97" s="13">
        <f t="shared" ref="L97:L116" si="11">IFERROR(((K97/(J97*I97)/24)),"0")</f>
        <v>104.95909090908975</v>
      </c>
      <c r="M97" s="53"/>
      <c r="N97" s="53"/>
      <c r="O97" s="53"/>
      <c r="P97" s="53"/>
      <c r="Q97" s="53"/>
      <c r="R97" s="54"/>
      <c r="S97" s="54"/>
      <c r="T97" s="53"/>
      <c r="U97" s="53"/>
      <c r="V97" s="54"/>
      <c r="W97" s="54">
        <v>3</v>
      </c>
      <c r="X97" s="54"/>
      <c r="Y97" s="54"/>
      <c r="Z97" s="54"/>
      <c r="AA97" s="53"/>
      <c r="AB97" s="53"/>
      <c r="AC97" s="53">
        <v>11</v>
      </c>
      <c r="AD97" s="53"/>
      <c r="AE97" s="53"/>
      <c r="AF97" s="53"/>
      <c r="AG97" s="53"/>
      <c r="AH97" s="53"/>
      <c r="AI97" s="53"/>
      <c r="AJ97" s="53"/>
      <c r="AK97" s="53"/>
      <c r="AL97" s="53"/>
      <c r="AM97" s="55"/>
    </row>
    <row r="98" spans="2:39" ht="25.05" customHeight="1">
      <c r="B98" s="49"/>
      <c r="C98" s="50"/>
      <c r="D98" s="51"/>
      <c r="E98" s="19" t="s">
        <v>142</v>
      </c>
      <c r="F98" s="9" t="s">
        <v>44</v>
      </c>
      <c r="G98" s="52">
        <v>0.80277777777777781</v>
      </c>
      <c r="H98" s="52">
        <v>0.80972222222222223</v>
      </c>
      <c r="I98" s="11">
        <f t="shared" si="10"/>
        <v>6.9444444444444198E-3</v>
      </c>
      <c r="J98" s="53">
        <v>4</v>
      </c>
      <c r="K98" s="53">
        <v>76.55</v>
      </c>
      <c r="L98" s="13">
        <f t="shared" si="11"/>
        <v>114.8250000000004</v>
      </c>
      <c r="M98" s="53"/>
      <c r="N98" s="53"/>
      <c r="O98" s="53"/>
      <c r="P98" s="53"/>
      <c r="Q98" s="53"/>
      <c r="R98" s="54"/>
      <c r="S98" s="54"/>
      <c r="T98" s="53"/>
      <c r="U98" s="53"/>
      <c r="V98" s="54"/>
      <c r="W98" s="54">
        <v>3</v>
      </c>
      <c r="X98" s="54"/>
      <c r="Y98" s="54"/>
      <c r="Z98" s="54"/>
      <c r="AA98" s="53"/>
      <c r="AB98" s="53"/>
      <c r="AC98" s="53"/>
      <c r="AD98" s="53"/>
      <c r="AE98" s="53">
        <v>10</v>
      </c>
      <c r="AF98" s="53"/>
      <c r="AG98" s="53"/>
      <c r="AH98" s="53"/>
      <c r="AI98" s="53"/>
      <c r="AJ98" s="53"/>
      <c r="AK98" s="53"/>
      <c r="AL98" s="53"/>
      <c r="AM98" s="55"/>
    </row>
    <row r="99" spans="2:39" ht="25.05" customHeight="1">
      <c r="B99" s="49"/>
      <c r="C99" s="50"/>
      <c r="D99" s="51"/>
      <c r="E99" s="19" t="s">
        <v>143</v>
      </c>
      <c r="F99" s="9" t="s">
        <v>44</v>
      </c>
      <c r="G99" s="52">
        <v>0.81041666666666667</v>
      </c>
      <c r="H99" s="52">
        <v>0.81597222222222221</v>
      </c>
      <c r="I99" s="11">
        <f t="shared" si="10"/>
        <v>5.5555555555555358E-3</v>
      </c>
      <c r="J99" s="53">
        <v>4</v>
      </c>
      <c r="K99" s="53">
        <v>78.540000000000006</v>
      </c>
      <c r="L99" s="13">
        <f t="shared" si="11"/>
        <v>147.26250000000053</v>
      </c>
      <c r="M99" s="53"/>
      <c r="N99" s="53"/>
      <c r="O99" s="53"/>
      <c r="P99" s="53"/>
      <c r="Q99" s="53"/>
      <c r="R99" s="54"/>
      <c r="S99" s="54"/>
      <c r="T99" s="53"/>
      <c r="U99" s="53"/>
      <c r="V99" s="54"/>
      <c r="W99" s="54">
        <v>3</v>
      </c>
      <c r="X99" s="54"/>
      <c r="Y99" s="54"/>
      <c r="Z99" s="54"/>
      <c r="AA99" s="53"/>
      <c r="AB99" s="53"/>
      <c r="AC99" s="53">
        <v>8</v>
      </c>
      <c r="AD99" s="53"/>
      <c r="AE99" s="53"/>
      <c r="AF99" s="53"/>
      <c r="AG99" s="53"/>
      <c r="AH99" s="53"/>
      <c r="AI99" s="53"/>
      <c r="AJ99" s="53"/>
      <c r="AK99" s="53"/>
      <c r="AL99" s="53"/>
      <c r="AM99" s="55"/>
    </row>
    <row r="100" spans="2:39" ht="25.05" customHeight="1">
      <c r="B100" s="49"/>
      <c r="C100" s="50"/>
      <c r="D100" s="51"/>
      <c r="E100" s="19" t="s">
        <v>144</v>
      </c>
      <c r="F100" s="9" t="s">
        <v>44</v>
      </c>
      <c r="G100" s="52">
        <v>0.83333333333333337</v>
      </c>
      <c r="H100" s="52">
        <v>0.83888888888888891</v>
      </c>
      <c r="I100" s="11">
        <f t="shared" si="10"/>
        <v>5.5555555555555358E-3</v>
      </c>
      <c r="J100" s="53">
        <v>4</v>
      </c>
      <c r="K100" s="53">
        <v>79.099999999999994</v>
      </c>
      <c r="L100" s="13">
        <f t="shared" si="11"/>
        <v>148.31250000000051</v>
      </c>
      <c r="M100" s="53"/>
      <c r="N100" s="53"/>
      <c r="O100" s="53"/>
      <c r="P100" s="53"/>
      <c r="Q100" s="53"/>
      <c r="R100" s="54"/>
      <c r="S100" s="54"/>
      <c r="T100" s="53"/>
      <c r="U100" s="53"/>
      <c r="V100" s="54"/>
      <c r="W100" s="54">
        <v>3</v>
      </c>
      <c r="X100" s="54"/>
      <c r="Y100" s="54"/>
      <c r="Z100" s="54"/>
      <c r="AA100" s="53"/>
      <c r="AB100" s="53"/>
      <c r="AC100" s="53"/>
      <c r="AD100" s="53"/>
      <c r="AE100" s="53">
        <v>8</v>
      </c>
      <c r="AF100" s="53"/>
      <c r="AG100" s="53"/>
      <c r="AH100" s="53"/>
      <c r="AI100" s="53"/>
      <c r="AJ100" s="53"/>
      <c r="AK100" s="53"/>
      <c r="AL100" s="53"/>
      <c r="AM100" s="55"/>
    </row>
    <row r="101" spans="2:39" ht="25.05" customHeight="1">
      <c r="B101" s="49"/>
      <c r="C101" s="50"/>
      <c r="D101" s="51"/>
      <c r="E101" s="19" t="s">
        <v>145</v>
      </c>
      <c r="F101" s="9" t="s">
        <v>44</v>
      </c>
      <c r="G101" s="52">
        <v>0.84305555555555556</v>
      </c>
      <c r="H101" s="52">
        <v>0.84930555555555554</v>
      </c>
      <c r="I101" s="11">
        <f t="shared" si="10"/>
        <v>6.2499999999999778E-3</v>
      </c>
      <c r="J101" s="53">
        <v>4</v>
      </c>
      <c r="K101" s="53">
        <v>73</v>
      </c>
      <c r="L101" s="13">
        <f t="shared" si="11"/>
        <v>121.6666666666671</v>
      </c>
      <c r="M101" s="53"/>
      <c r="N101" s="53"/>
      <c r="O101" s="53"/>
      <c r="P101" s="53"/>
      <c r="Q101" s="53"/>
      <c r="R101" s="54"/>
      <c r="S101" s="54"/>
      <c r="T101" s="53"/>
      <c r="U101" s="53"/>
      <c r="V101" s="54"/>
      <c r="W101" s="54">
        <v>3</v>
      </c>
      <c r="X101" s="54"/>
      <c r="Y101" s="54"/>
      <c r="Z101" s="54"/>
      <c r="AA101" s="53"/>
      <c r="AB101" s="53"/>
      <c r="AC101" s="53">
        <v>9</v>
      </c>
      <c r="AD101" s="53"/>
      <c r="AE101" s="53"/>
      <c r="AF101" s="53"/>
      <c r="AG101" s="53"/>
      <c r="AH101" s="53"/>
      <c r="AI101" s="53"/>
      <c r="AJ101" s="53"/>
      <c r="AK101" s="53"/>
      <c r="AL101" s="53"/>
      <c r="AM101" s="55"/>
    </row>
    <row r="102" spans="2:39" ht="25.05" customHeight="1">
      <c r="B102" s="49"/>
      <c r="C102" s="50"/>
      <c r="D102" s="51"/>
      <c r="E102" s="19"/>
      <c r="F102" s="9" t="s">
        <v>44</v>
      </c>
      <c r="G102" s="52"/>
      <c r="H102" s="52"/>
      <c r="I102" s="11">
        <f t="shared" si="10"/>
        <v>0</v>
      </c>
      <c r="J102" s="53"/>
      <c r="K102" s="53"/>
      <c r="L102" s="13" t="str">
        <f t="shared" si="11"/>
        <v>0</v>
      </c>
      <c r="M102" s="53"/>
      <c r="N102" s="53"/>
      <c r="O102" s="53"/>
      <c r="P102" s="53"/>
      <c r="Q102" s="53"/>
      <c r="R102" s="54"/>
      <c r="S102" s="54"/>
      <c r="T102" s="53"/>
      <c r="U102" s="53"/>
      <c r="V102" s="54"/>
      <c r="W102" s="54"/>
      <c r="X102" s="54"/>
      <c r="Y102" s="54"/>
      <c r="Z102" s="54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5"/>
    </row>
    <row r="103" spans="2:39" ht="25.05" customHeight="1">
      <c r="B103" s="49"/>
      <c r="C103" s="50"/>
      <c r="D103" s="51" t="s">
        <v>146</v>
      </c>
      <c r="E103" s="56" t="s">
        <v>147</v>
      </c>
      <c r="F103" s="9" t="s">
        <v>44</v>
      </c>
      <c r="G103" s="52">
        <v>0.74097222222222225</v>
      </c>
      <c r="H103" s="52">
        <v>0.74375000000000002</v>
      </c>
      <c r="I103" s="11">
        <f t="shared" si="10"/>
        <v>2.7777777777777679E-3</v>
      </c>
      <c r="J103" s="53">
        <v>4</v>
      </c>
      <c r="K103" s="53">
        <v>82.53</v>
      </c>
      <c r="L103" s="13">
        <f t="shared" si="11"/>
        <v>309.48750000000109</v>
      </c>
      <c r="M103" s="53"/>
      <c r="N103" s="53"/>
      <c r="O103" s="53"/>
      <c r="P103" s="53"/>
      <c r="Q103" s="53"/>
      <c r="R103" s="54"/>
      <c r="S103" s="54"/>
      <c r="T103" s="53"/>
      <c r="U103" s="53"/>
      <c r="V103" s="54">
        <v>2</v>
      </c>
      <c r="W103" s="54"/>
      <c r="X103" s="54"/>
      <c r="Y103" s="54"/>
      <c r="Z103" s="54"/>
      <c r="AA103" s="53"/>
      <c r="AB103" s="53"/>
      <c r="AC103" s="53"/>
      <c r="AD103" s="53">
        <v>4</v>
      </c>
      <c r="AE103" s="53"/>
      <c r="AF103" s="53"/>
      <c r="AG103" s="53"/>
      <c r="AH103" s="53"/>
      <c r="AI103" s="53"/>
      <c r="AJ103" s="53"/>
      <c r="AK103" s="53"/>
      <c r="AL103" s="53"/>
      <c r="AM103" s="55"/>
    </row>
    <row r="104" spans="2:39" ht="25.05" customHeight="1">
      <c r="B104" s="49"/>
      <c r="C104" s="50"/>
      <c r="D104" s="51"/>
      <c r="E104" s="56" t="s">
        <v>148</v>
      </c>
      <c r="F104" s="9" t="s">
        <v>44</v>
      </c>
      <c r="G104" s="52">
        <v>0.76249999999999996</v>
      </c>
      <c r="H104" s="52">
        <v>0.76527777777777772</v>
      </c>
      <c r="I104" s="11">
        <f t="shared" si="10"/>
        <v>2.7777777777777679E-3</v>
      </c>
      <c r="J104" s="53">
        <v>4</v>
      </c>
      <c r="K104" s="53">
        <v>63.09</v>
      </c>
      <c r="L104" s="13">
        <f t="shared" si="11"/>
        <v>236.58750000000086</v>
      </c>
      <c r="M104" s="53"/>
      <c r="N104" s="53"/>
      <c r="O104" s="53"/>
      <c r="P104" s="53"/>
      <c r="Q104" s="53"/>
      <c r="R104" s="54"/>
      <c r="S104" s="54"/>
      <c r="T104" s="53"/>
      <c r="U104" s="53"/>
      <c r="V104" s="54">
        <v>2</v>
      </c>
      <c r="W104" s="54"/>
      <c r="X104" s="54"/>
      <c r="Y104" s="54"/>
      <c r="Z104" s="54"/>
      <c r="AA104" s="53"/>
      <c r="AB104" s="53"/>
      <c r="AC104" s="53"/>
      <c r="AD104" s="53">
        <v>4</v>
      </c>
      <c r="AE104" s="53"/>
      <c r="AF104" s="53"/>
      <c r="AG104" s="53"/>
      <c r="AH104" s="53"/>
      <c r="AI104" s="53"/>
      <c r="AJ104" s="53"/>
      <c r="AK104" s="53"/>
      <c r="AL104" s="53"/>
      <c r="AM104" s="55"/>
    </row>
    <row r="105" spans="2:39" ht="25.05" customHeight="1">
      <c r="B105" s="49"/>
      <c r="C105" s="50"/>
      <c r="D105" s="51"/>
      <c r="E105" s="56" t="s">
        <v>149</v>
      </c>
      <c r="F105" s="9" t="s">
        <v>44</v>
      </c>
      <c r="G105" s="52">
        <v>0.77430555555555558</v>
      </c>
      <c r="H105" s="52">
        <v>0.77708333333333335</v>
      </c>
      <c r="I105" s="11">
        <f t="shared" si="10"/>
        <v>2.7777777777777679E-3</v>
      </c>
      <c r="J105" s="53">
        <v>4</v>
      </c>
      <c r="K105" s="53">
        <v>53.72</v>
      </c>
      <c r="L105" s="13">
        <f t="shared" si="11"/>
        <v>201.45000000000073</v>
      </c>
      <c r="M105" s="53"/>
      <c r="N105" s="53"/>
      <c r="O105" s="53"/>
      <c r="P105" s="53"/>
      <c r="Q105" s="53"/>
      <c r="R105" s="54"/>
      <c r="S105" s="54"/>
      <c r="T105" s="53"/>
      <c r="U105" s="53"/>
      <c r="V105" s="54">
        <v>2</v>
      </c>
      <c r="W105" s="54"/>
      <c r="X105" s="54"/>
      <c r="Y105" s="54"/>
      <c r="Z105" s="54"/>
      <c r="AA105" s="53"/>
      <c r="AB105" s="53"/>
      <c r="AC105" s="53"/>
      <c r="AD105" s="53">
        <v>4</v>
      </c>
      <c r="AE105" s="53"/>
      <c r="AF105" s="53"/>
      <c r="AG105" s="53"/>
      <c r="AH105" s="53"/>
      <c r="AI105" s="53"/>
      <c r="AJ105" s="53"/>
      <c r="AK105" s="53"/>
      <c r="AL105" s="53"/>
      <c r="AM105" s="55"/>
    </row>
    <row r="106" spans="2:39" ht="25.05" customHeight="1">
      <c r="B106" s="49"/>
      <c r="C106" s="50"/>
      <c r="D106" s="51"/>
      <c r="E106" s="56" t="s">
        <v>150</v>
      </c>
      <c r="F106" s="9" t="s">
        <v>44</v>
      </c>
      <c r="G106" s="52">
        <v>0.78125</v>
      </c>
      <c r="H106" s="52">
        <v>0.78333333333333333</v>
      </c>
      <c r="I106" s="11">
        <f t="shared" si="10"/>
        <v>2.0833333333333259E-3</v>
      </c>
      <c r="J106" s="53">
        <v>4</v>
      </c>
      <c r="K106" s="53">
        <v>70.959999999999994</v>
      </c>
      <c r="L106" s="13">
        <f t="shared" si="11"/>
        <v>354.80000000000126</v>
      </c>
      <c r="M106" s="53"/>
      <c r="N106" s="53"/>
      <c r="O106" s="53"/>
      <c r="P106" s="53"/>
      <c r="Q106" s="53"/>
      <c r="R106" s="54"/>
      <c r="S106" s="54"/>
      <c r="T106" s="53"/>
      <c r="U106" s="53"/>
      <c r="V106" s="54">
        <v>2</v>
      </c>
      <c r="W106" s="54"/>
      <c r="X106" s="54"/>
      <c r="Y106" s="54"/>
      <c r="Z106" s="54"/>
      <c r="AA106" s="53"/>
      <c r="AB106" s="53"/>
      <c r="AC106" s="53"/>
      <c r="AD106" s="53">
        <v>3</v>
      </c>
      <c r="AE106" s="53"/>
      <c r="AF106" s="53"/>
      <c r="AG106" s="53"/>
      <c r="AH106" s="53"/>
      <c r="AI106" s="53"/>
      <c r="AJ106" s="53"/>
      <c r="AK106" s="53"/>
      <c r="AL106" s="53"/>
      <c r="AM106" s="55"/>
    </row>
    <row r="107" spans="2:39" ht="25.05" customHeight="1">
      <c r="B107" s="49"/>
      <c r="C107" s="50"/>
      <c r="D107" s="51"/>
      <c r="E107" s="56" t="s">
        <v>151</v>
      </c>
      <c r="F107" s="9" t="s">
        <v>44</v>
      </c>
      <c r="G107" s="52">
        <v>0.66180555555555554</v>
      </c>
      <c r="H107" s="52">
        <v>0.66180555555555554</v>
      </c>
      <c r="I107" s="11">
        <f t="shared" si="10"/>
        <v>0</v>
      </c>
      <c r="J107" s="53">
        <v>4</v>
      </c>
      <c r="K107" s="53">
        <v>83.27</v>
      </c>
      <c r="L107" s="13" t="str">
        <f t="shared" si="11"/>
        <v>0</v>
      </c>
      <c r="M107" s="53"/>
      <c r="N107" s="53"/>
      <c r="O107" s="53"/>
      <c r="P107" s="53"/>
      <c r="Q107" s="53"/>
      <c r="R107" s="54"/>
      <c r="S107" s="54"/>
      <c r="T107" s="53"/>
      <c r="U107" s="53"/>
      <c r="V107" s="54"/>
      <c r="W107" s="54">
        <v>2</v>
      </c>
      <c r="X107" s="54"/>
      <c r="Y107" s="54"/>
      <c r="Z107" s="54"/>
      <c r="AA107" s="53"/>
      <c r="AB107" s="53"/>
      <c r="AC107" s="53"/>
      <c r="AD107" s="53"/>
      <c r="AE107" s="53">
        <v>1</v>
      </c>
      <c r="AF107" s="53"/>
      <c r="AG107" s="53"/>
      <c r="AH107" s="53"/>
      <c r="AI107" s="53"/>
      <c r="AJ107" s="53"/>
      <c r="AK107" s="53"/>
      <c r="AL107" s="53"/>
      <c r="AM107" s="55"/>
    </row>
    <row r="108" spans="2:39" ht="25.05" customHeight="1">
      <c r="B108" s="49"/>
      <c r="C108" s="50"/>
      <c r="D108" s="51"/>
      <c r="E108" s="56" t="s">
        <v>152</v>
      </c>
      <c r="F108" s="9" t="s">
        <v>44</v>
      </c>
      <c r="G108" s="52">
        <v>0.69444444444444442</v>
      </c>
      <c r="H108" s="52">
        <v>0.69444444444444442</v>
      </c>
      <c r="I108" s="11">
        <f t="shared" si="10"/>
        <v>0</v>
      </c>
      <c r="J108" s="53">
        <v>4</v>
      </c>
      <c r="K108" s="53">
        <v>70.790000000000006</v>
      </c>
      <c r="L108" s="13" t="str">
        <f t="shared" si="11"/>
        <v>0</v>
      </c>
      <c r="M108" s="53"/>
      <c r="N108" s="53"/>
      <c r="O108" s="53"/>
      <c r="P108" s="53"/>
      <c r="Q108" s="53"/>
      <c r="R108" s="54"/>
      <c r="S108" s="54"/>
      <c r="T108" s="53"/>
      <c r="U108" s="53"/>
      <c r="V108" s="54"/>
      <c r="W108" s="54">
        <v>2</v>
      </c>
      <c r="X108" s="54"/>
      <c r="Y108" s="54"/>
      <c r="Z108" s="54"/>
      <c r="AA108" s="53"/>
      <c r="AB108" s="53"/>
      <c r="AC108" s="53"/>
      <c r="AD108" s="53"/>
      <c r="AE108" s="53">
        <v>1</v>
      </c>
      <c r="AF108" s="53"/>
      <c r="AG108" s="53"/>
      <c r="AH108" s="53"/>
      <c r="AI108" s="53"/>
      <c r="AJ108" s="53"/>
      <c r="AK108" s="53"/>
      <c r="AL108" s="53"/>
      <c r="AM108" s="55"/>
    </row>
    <row r="109" spans="2:39" ht="25.05" customHeight="1">
      <c r="B109" s="49"/>
      <c r="C109" s="50"/>
      <c r="D109" s="51"/>
      <c r="E109" s="56" t="s">
        <v>153</v>
      </c>
      <c r="F109" s="9" t="s">
        <v>44</v>
      </c>
      <c r="G109" s="52">
        <v>0.70347222222222228</v>
      </c>
      <c r="H109" s="52">
        <v>0.70347222222222228</v>
      </c>
      <c r="I109" s="11">
        <f t="shared" si="10"/>
        <v>0</v>
      </c>
      <c r="J109" s="53">
        <v>4</v>
      </c>
      <c r="K109" s="53">
        <v>79.86</v>
      </c>
      <c r="L109" s="13" t="str">
        <f t="shared" si="11"/>
        <v>0</v>
      </c>
      <c r="M109" s="53"/>
      <c r="N109" s="53"/>
      <c r="O109" s="53"/>
      <c r="P109" s="53"/>
      <c r="Q109" s="53"/>
      <c r="R109" s="54"/>
      <c r="S109" s="54"/>
      <c r="T109" s="53"/>
      <c r="U109" s="53"/>
      <c r="V109" s="54"/>
      <c r="W109" s="54">
        <v>2</v>
      </c>
      <c r="X109" s="54"/>
      <c r="Y109" s="54"/>
      <c r="Z109" s="54"/>
      <c r="AA109" s="53"/>
      <c r="AB109" s="53"/>
      <c r="AC109" s="53"/>
      <c r="AD109" s="53"/>
      <c r="AE109" s="53">
        <v>1</v>
      </c>
      <c r="AF109" s="53"/>
      <c r="AG109" s="53"/>
      <c r="AH109" s="53"/>
      <c r="AI109" s="53"/>
      <c r="AJ109" s="53"/>
      <c r="AK109" s="53"/>
      <c r="AL109" s="53"/>
      <c r="AM109" s="55"/>
    </row>
    <row r="110" spans="2:39" ht="25.05" customHeight="1">
      <c r="B110" s="49"/>
      <c r="C110" s="50"/>
      <c r="D110" s="51"/>
      <c r="E110" s="56" t="s">
        <v>154</v>
      </c>
      <c r="F110" s="9" t="s">
        <v>44</v>
      </c>
      <c r="G110" s="52">
        <v>0.7104166666666667</v>
      </c>
      <c r="H110" s="52">
        <v>0.7104166666666667</v>
      </c>
      <c r="I110" s="11">
        <f t="shared" si="10"/>
        <v>0</v>
      </c>
      <c r="J110" s="53">
        <v>4</v>
      </c>
      <c r="K110" s="53">
        <v>82.31</v>
      </c>
      <c r="L110" s="13" t="str">
        <f t="shared" si="11"/>
        <v>0</v>
      </c>
      <c r="M110" s="53"/>
      <c r="N110" s="53"/>
      <c r="O110" s="53"/>
      <c r="P110" s="53"/>
      <c r="Q110" s="53"/>
      <c r="R110" s="54"/>
      <c r="S110" s="54"/>
      <c r="T110" s="53"/>
      <c r="U110" s="53"/>
      <c r="V110" s="54"/>
      <c r="W110" s="54">
        <v>2</v>
      </c>
      <c r="X110" s="54"/>
      <c r="Y110" s="54"/>
      <c r="Z110" s="54"/>
      <c r="AA110" s="53"/>
      <c r="AB110" s="53"/>
      <c r="AC110" s="53"/>
      <c r="AD110" s="53"/>
      <c r="AE110" s="53">
        <v>1</v>
      </c>
      <c r="AF110" s="53"/>
      <c r="AG110" s="53"/>
      <c r="AH110" s="53"/>
      <c r="AI110" s="53"/>
      <c r="AJ110" s="53"/>
      <c r="AK110" s="53"/>
      <c r="AL110" s="53"/>
      <c r="AM110" s="55"/>
    </row>
    <row r="111" spans="2:39" ht="25.05" customHeight="1">
      <c r="B111" s="49"/>
      <c r="C111" s="50"/>
      <c r="D111" s="51"/>
      <c r="E111" s="56" t="s">
        <v>155</v>
      </c>
      <c r="F111" s="9" t="s">
        <v>44</v>
      </c>
      <c r="G111" s="52">
        <v>0.72083333333333333</v>
      </c>
      <c r="H111" s="52">
        <v>0.72083333333333333</v>
      </c>
      <c r="I111" s="11">
        <f t="shared" si="10"/>
        <v>0</v>
      </c>
      <c r="J111" s="53">
        <v>4</v>
      </c>
      <c r="K111" s="53">
        <v>83.19</v>
      </c>
      <c r="L111" s="13" t="str">
        <f t="shared" si="11"/>
        <v>0</v>
      </c>
      <c r="M111" s="53"/>
      <c r="N111" s="53"/>
      <c r="O111" s="53"/>
      <c r="P111" s="53"/>
      <c r="Q111" s="53"/>
      <c r="R111" s="54"/>
      <c r="S111" s="54"/>
      <c r="T111" s="53"/>
      <c r="U111" s="53"/>
      <c r="V111" s="54"/>
      <c r="W111" s="54">
        <v>2</v>
      </c>
      <c r="X111" s="54"/>
      <c r="Y111" s="54"/>
      <c r="Z111" s="54"/>
      <c r="AA111" s="53"/>
      <c r="AB111" s="53"/>
      <c r="AC111" s="53"/>
      <c r="AD111" s="53"/>
      <c r="AE111" s="53">
        <v>1</v>
      </c>
      <c r="AF111" s="53"/>
      <c r="AG111" s="53"/>
      <c r="AH111" s="53"/>
      <c r="AI111" s="53"/>
      <c r="AJ111" s="53"/>
      <c r="AK111" s="53"/>
      <c r="AL111" s="53"/>
      <c r="AM111" s="55"/>
    </row>
    <row r="112" spans="2:39" ht="25.05" customHeight="1">
      <c r="B112" s="49"/>
      <c r="C112" s="50"/>
      <c r="D112" s="51"/>
      <c r="E112" s="56" t="s">
        <v>156</v>
      </c>
      <c r="F112" s="9" t="s">
        <v>44</v>
      </c>
      <c r="G112" s="52">
        <v>0.72847222222222219</v>
      </c>
      <c r="H112" s="52">
        <v>0.72847222222222219</v>
      </c>
      <c r="I112" s="11">
        <f t="shared" si="10"/>
        <v>0</v>
      </c>
      <c r="J112" s="53">
        <v>4</v>
      </c>
      <c r="K112" s="53">
        <v>14.97</v>
      </c>
      <c r="L112" s="13" t="str">
        <f t="shared" si="11"/>
        <v>0</v>
      </c>
      <c r="M112" s="53"/>
      <c r="N112" s="53"/>
      <c r="O112" s="53"/>
      <c r="P112" s="53"/>
      <c r="Q112" s="53"/>
      <c r="R112" s="54"/>
      <c r="S112" s="54"/>
      <c r="T112" s="53"/>
      <c r="U112" s="53"/>
      <c r="V112" s="54">
        <v>2</v>
      </c>
      <c r="W112" s="54"/>
      <c r="X112" s="54"/>
      <c r="Y112" s="54"/>
      <c r="Z112" s="54"/>
      <c r="AA112" s="53"/>
      <c r="AB112" s="53"/>
      <c r="AC112" s="53"/>
      <c r="AD112" s="53"/>
      <c r="AE112" s="53">
        <v>1</v>
      </c>
      <c r="AF112" s="53"/>
      <c r="AG112" s="53"/>
      <c r="AH112" s="53"/>
      <c r="AI112" s="53"/>
      <c r="AJ112" s="53"/>
      <c r="AK112" s="53"/>
      <c r="AL112" s="53"/>
      <c r="AM112" s="55"/>
    </row>
    <row r="113" spans="1:39" ht="25.05" customHeight="1">
      <c r="B113" s="49"/>
      <c r="C113" s="50"/>
      <c r="D113" s="51"/>
      <c r="E113" s="56" t="s">
        <v>157</v>
      </c>
      <c r="F113" s="9" t="s">
        <v>44</v>
      </c>
      <c r="G113" s="52">
        <v>0.72986111111111107</v>
      </c>
      <c r="H113" s="52">
        <v>0.72986111111111107</v>
      </c>
      <c r="I113" s="11">
        <f t="shared" si="10"/>
        <v>0</v>
      </c>
      <c r="J113" s="53">
        <v>4</v>
      </c>
      <c r="K113" s="53">
        <v>15.16</v>
      </c>
      <c r="L113" s="13" t="str">
        <f t="shared" si="11"/>
        <v>0</v>
      </c>
      <c r="M113" s="53"/>
      <c r="N113" s="53"/>
      <c r="O113" s="53"/>
      <c r="P113" s="53"/>
      <c r="Q113" s="53"/>
      <c r="R113" s="54"/>
      <c r="S113" s="54"/>
      <c r="T113" s="53"/>
      <c r="U113" s="53"/>
      <c r="V113" s="54">
        <v>2</v>
      </c>
      <c r="W113" s="54"/>
      <c r="X113" s="54"/>
      <c r="Y113" s="54"/>
      <c r="Z113" s="54"/>
      <c r="AA113" s="53"/>
      <c r="AB113" s="53"/>
      <c r="AC113" s="53"/>
      <c r="AD113" s="53"/>
      <c r="AE113" s="53">
        <v>1</v>
      </c>
      <c r="AF113" s="53"/>
      <c r="AG113" s="53"/>
      <c r="AH113" s="53"/>
      <c r="AI113" s="53"/>
      <c r="AJ113" s="53"/>
      <c r="AK113" s="53"/>
      <c r="AL113" s="53"/>
      <c r="AM113" s="55"/>
    </row>
    <row r="114" spans="1:39" ht="25.05" customHeight="1">
      <c r="B114" s="49"/>
      <c r="C114" s="50"/>
      <c r="D114" s="51"/>
      <c r="E114" s="56" t="s">
        <v>158</v>
      </c>
      <c r="F114" s="9" t="s">
        <v>44</v>
      </c>
      <c r="G114" s="52">
        <v>0.73055555555555551</v>
      </c>
      <c r="H114" s="52">
        <v>0.73055555555555551</v>
      </c>
      <c r="I114" s="11">
        <f t="shared" si="10"/>
        <v>0</v>
      </c>
      <c r="J114" s="53">
        <v>4</v>
      </c>
      <c r="K114" s="53">
        <v>15.58</v>
      </c>
      <c r="L114" s="13" t="str">
        <f t="shared" si="11"/>
        <v>0</v>
      </c>
      <c r="M114" s="53"/>
      <c r="N114" s="53"/>
      <c r="O114" s="53"/>
      <c r="P114" s="53"/>
      <c r="Q114" s="53"/>
      <c r="R114" s="54"/>
      <c r="S114" s="54"/>
      <c r="T114" s="53"/>
      <c r="U114" s="53"/>
      <c r="V114" s="54">
        <v>2</v>
      </c>
      <c r="W114" s="54"/>
      <c r="X114" s="54"/>
      <c r="Y114" s="54"/>
      <c r="Z114" s="54"/>
      <c r="AA114" s="53"/>
      <c r="AB114" s="53"/>
      <c r="AC114" s="53"/>
      <c r="AD114" s="53"/>
      <c r="AE114" s="53">
        <v>1</v>
      </c>
      <c r="AF114" s="53"/>
      <c r="AG114" s="53"/>
      <c r="AH114" s="53"/>
      <c r="AI114" s="53"/>
      <c r="AJ114" s="53"/>
      <c r="AK114" s="53"/>
      <c r="AL114" s="53"/>
      <c r="AM114" s="55"/>
    </row>
    <row r="115" spans="1:39" ht="25.05" customHeight="1">
      <c r="B115" s="49"/>
      <c r="C115" s="50"/>
      <c r="D115" s="51"/>
      <c r="E115" s="56" t="s">
        <v>159</v>
      </c>
      <c r="F115" s="9" t="s">
        <v>44</v>
      </c>
      <c r="G115" s="52">
        <v>0.73263888888888884</v>
      </c>
      <c r="H115" s="52">
        <v>0.73263888888888884</v>
      </c>
      <c r="I115" s="11">
        <f t="shared" si="10"/>
        <v>0</v>
      </c>
      <c r="J115" s="53">
        <v>4</v>
      </c>
      <c r="K115" s="53">
        <v>15.66</v>
      </c>
      <c r="L115" s="13" t="str">
        <f t="shared" si="11"/>
        <v>0</v>
      </c>
      <c r="M115" s="53"/>
      <c r="N115" s="53"/>
      <c r="O115" s="53"/>
      <c r="P115" s="53"/>
      <c r="Q115" s="53"/>
      <c r="R115" s="54"/>
      <c r="S115" s="54"/>
      <c r="T115" s="53"/>
      <c r="U115" s="53"/>
      <c r="V115" s="54">
        <v>2</v>
      </c>
      <c r="W115" s="54"/>
      <c r="X115" s="54"/>
      <c r="Y115" s="54"/>
      <c r="Z115" s="54"/>
      <c r="AA115" s="53"/>
      <c r="AB115" s="53"/>
      <c r="AC115" s="53"/>
      <c r="AD115" s="53"/>
      <c r="AE115" s="53">
        <v>1</v>
      </c>
      <c r="AF115" s="53"/>
      <c r="AG115" s="53"/>
      <c r="AH115" s="53"/>
      <c r="AI115" s="53"/>
      <c r="AJ115" s="53"/>
      <c r="AK115" s="53"/>
      <c r="AL115" s="53"/>
      <c r="AM115" s="55"/>
    </row>
    <row r="116" spans="1:39" ht="25.05" customHeight="1">
      <c r="B116" s="49"/>
      <c r="C116" s="50"/>
      <c r="D116" s="51"/>
      <c r="E116" s="56" t="s">
        <v>160</v>
      </c>
      <c r="F116" s="9" t="s">
        <v>44</v>
      </c>
      <c r="G116" s="52">
        <v>0.73333333333333328</v>
      </c>
      <c r="H116" s="52">
        <v>0.73333333333333328</v>
      </c>
      <c r="I116" s="11">
        <f t="shared" si="10"/>
        <v>0</v>
      </c>
      <c r="J116" s="53">
        <v>4</v>
      </c>
      <c r="K116" s="53">
        <v>15.79</v>
      </c>
      <c r="L116" s="13" t="str">
        <f t="shared" si="11"/>
        <v>0</v>
      </c>
      <c r="M116" s="53"/>
      <c r="N116" s="53"/>
      <c r="O116" s="53"/>
      <c r="P116" s="53"/>
      <c r="Q116" s="53"/>
      <c r="R116" s="54"/>
      <c r="S116" s="54"/>
      <c r="T116" s="53"/>
      <c r="U116" s="53"/>
      <c r="V116" s="54">
        <v>2</v>
      </c>
      <c r="W116" s="54"/>
      <c r="X116" s="54"/>
      <c r="Y116" s="54"/>
      <c r="Z116" s="54"/>
      <c r="AA116" s="53"/>
      <c r="AB116" s="53"/>
      <c r="AC116" s="53"/>
      <c r="AD116" s="53"/>
      <c r="AE116" s="53">
        <v>1</v>
      </c>
      <c r="AF116" s="53"/>
      <c r="AG116" s="53"/>
      <c r="AH116" s="53"/>
      <c r="AI116" s="53"/>
      <c r="AJ116" s="53"/>
      <c r="AK116" s="53"/>
      <c r="AL116" s="53"/>
      <c r="AM116" s="55"/>
    </row>
    <row r="117" spans="1:39" ht="25.05" customHeight="1">
      <c r="B117" s="49"/>
      <c r="C117" s="50"/>
      <c r="D117" s="51"/>
      <c r="E117" s="56"/>
      <c r="F117" s="57"/>
      <c r="G117" s="52"/>
      <c r="H117" s="52"/>
      <c r="I117" s="58"/>
      <c r="J117" s="53"/>
      <c r="K117" s="53"/>
      <c r="L117" s="13"/>
      <c r="M117" s="53"/>
      <c r="N117" s="53"/>
      <c r="O117" s="53"/>
      <c r="P117" s="53"/>
      <c r="Q117" s="53"/>
      <c r="R117" s="54"/>
      <c r="S117" s="54"/>
      <c r="T117" s="53"/>
      <c r="U117" s="53"/>
      <c r="V117" s="54"/>
      <c r="W117" s="54"/>
      <c r="X117" s="54"/>
      <c r="Y117" s="54"/>
      <c r="Z117" s="54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5"/>
    </row>
    <row r="118" spans="1:39" ht="25.05" customHeight="1">
      <c r="B118" s="49"/>
      <c r="C118" s="50"/>
      <c r="D118" s="51"/>
      <c r="E118" s="56"/>
      <c r="F118" s="57"/>
      <c r="G118" s="52"/>
      <c r="H118" s="52"/>
      <c r="I118" s="58"/>
      <c r="J118" s="53"/>
      <c r="K118" s="53"/>
      <c r="L118" s="13"/>
      <c r="M118" s="53"/>
      <c r="N118" s="53"/>
      <c r="O118" s="53"/>
      <c r="P118" s="53"/>
      <c r="Q118" s="53"/>
      <c r="R118" s="54"/>
      <c r="S118" s="54"/>
      <c r="T118" s="53"/>
      <c r="U118" s="53"/>
      <c r="V118" s="54"/>
      <c r="W118" s="54"/>
      <c r="X118" s="54"/>
      <c r="Y118" s="54"/>
      <c r="Z118" s="54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5"/>
    </row>
    <row r="119" spans="1:39" ht="25.05" customHeight="1">
      <c r="B119" s="49"/>
      <c r="C119" s="50"/>
      <c r="D119" s="51"/>
      <c r="E119" s="56"/>
      <c r="F119" s="57"/>
      <c r="G119" s="52"/>
      <c r="H119" s="52"/>
      <c r="I119" s="58"/>
      <c r="J119" s="53"/>
      <c r="K119" s="53"/>
      <c r="L119" s="13"/>
      <c r="M119" s="53"/>
      <c r="N119" s="53"/>
      <c r="O119" s="53"/>
      <c r="P119" s="53"/>
      <c r="Q119" s="53"/>
      <c r="R119" s="54"/>
      <c r="S119" s="54"/>
      <c r="T119" s="53"/>
      <c r="U119" s="53"/>
      <c r="V119" s="54"/>
      <c r="W119" s="54"/>
      <c r="X119" s="54"/>
      <c r="Y119" s="54"/>
      <c r="Z119" s="54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5"/>
    </row>
    <row r="120" spans="1:39" ht="25.05" customHeight="1">
      <c r="B120" s="49"/>
      <c r="C120" s="50"/>
      <c r="D120" s="51"/>
      <c r="E120" s="56"/>
      <c r="F120" s="57"/>
      <c r="G120" s="52"/>
      <c r="H120" s="52"/>
      <c r="I120" s="58"/>
      <c r="J120" s="53"/>
      <c r="K120" s="53"/>
      <c r="L120" s="13"/>
      <c r="M120" s="53"/>
      <c r="N120" s="53"/>
      <c r="O120" s="53"/>
      <c r="P120" s="53"/>
      <c r="Q120" s="53"/>
      <c r="R120" s="54"/>
      <c r="S120" s="54"/>
      <c r="T120" s="53"/>
      <c r="U120" s="53"/>
      <c r="V120" s="54"/>
      <c r="W120" s="54"/>
      <c r="X120" s="54"/>
      <c r="Y120" s="54"/>
      <c r="Z120" s="54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5"/>
    </row>
    <row r="121" spans="1:39" ht="25.05" customHeight="1">
      <c r="B121" s="49"/>
      <c r="C121" s="50"/>
      <c r="D121" s="51"/>
      <c r="E121" s="56"/>
      <c r="F121" s="57"/>
      <c r="G121" s="52"/>
      <c r="H121" s="52"/>
      <c r="I121" s="58"/>
      <c r="J121" s="53"/>
      <c r="K121" s="53"/>
      <c r="L121" s="13"/>
      <c r="M121" s="53"/>
      <c r="N121" s="53"/>
      <c r="O121" s="53"/>
      <c r="P121" s="53"/>
      <c r="Q121" s="53"/>
      <c r="R121" s="54"/>
      <c r="S121" s="54"/>
      <c r="T121" s="53"/>
      <c r="U121" s="53"/>
      <c r="V121" s="54"/>
      <c r="W121" s="54"/>
      <c r="X121" s="54"/>
      <c r="Y121" s="54"/>
      <c r="Z121" s="54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5"/>
    </row>
    <row r="122" spans="1:39" ht="25.05" customHeight="1">
      <c r="B122" s="49"/>
      <c r="C122" s="50"/>
      <c r="D122" s="51"/>
      <c r="E122" s="56"/>
      <c r="F122" s="57"/>
      <c r="G122" s="52"/>
      <c r="H122" s="52"/>
      <c r="I122" s="58"/>
      <c r="J122" s="53"/>
      <c r="K122" s="53"/>
      <c r="L122" s="13"/>
      <c r="M122" s="53"/>
      <c r="N122" s="53"/>
      <c r="O122" s="53"/>
      <c r="P122" s="53"/>
      <c r="Q122" s="53"/>
      <c r="R122" s="54"/>
      <c r="S122" s="54"/>
      <c r="T122" s="53"/>
      <c r="U122" s="53"/>
      <c r="V122" s="54"/>
      <c r="W122" s="54"/>
      <c r="X122" s="54"/>
      <c r="Y122" s="54"/>
      <c r="Z122" s="54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5"/>
    </row>
    <row r="123" spans="1:39" ht="25.05" customHeight="1">
      <c r="B123" s="49"/>
      <c r="C123" s="50"/>
      <c r="D123" s="51"/>
      <c r="E123" s="56"/>
      <c r="F123" s="57"/>
      <c r="G123" s="52"/>
      <c r="H123" s="52"/>
      <c r="I123" s="58"/>
      <c r="J123" s="53"/>
      <c r="K123" s="53"/>
      <c r="L123" s="13"/>
      <c r="M123" s="53"/>
      <c r="N123" s="53"/>
      <c r="O123" s="53"/>
      <c r="P123" s="53"/>
      <c r="Q123" s="53"/>
      <c r="R123" s="54"/>
      <c r="S123" s="54"/>
      <c r="T123" s="53"/>
      <c r="U123" s="53"/>
      <c r="V123" s="54"/>
      <c r="W123" s="54"/>
      <c r="X123" s="54"/>
      <c r="Y123" s="54"/>
      <c r="Z123" s="54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5"/>
    </row>
    <row r="124" spans="1:39" ht="25.05" customHeight="1">
      <c r="B124" s="49"/>
      <c r="C124" s="50"/>
      <c r="D124" s="51"/>
      <c r="E124" s="56"/>
      <c r="F124" s="57"/>
      <c r="G124" s="52"/>
      <c r="H124" s="52"/>
      <c r="I124" s="58"/>
      <c r="J124" s="53"/>
      <c r="K124" s="53"/>
      <c r="L124" s="13"/>
      <c r="M124" s="53"/>
      <c r="N124" s="53"/>
      <c r="O124" s="53"/>
      <c r="P124" s="53"/>
      <c r="Q124" s="53"/>
      <c r="R124" s="54"/>
      <c r="S124" s="54"/>
      <c r="T124" s="53"/>
      <c r="U124" s="53"/>
      <c r="V124" s="54"/>
      <c r="W124" s="54"/>
      <c r="X124" s="54"/>
      <c r="Y124" s="54"/>
      <c r="Z124" s="54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5"/>
    </row>
    <row r="125" spans="1:39" ht="25.05" customHeight="1">
      <c r="B125" s="49"/>
      <c r="C125" s="50"/>
      <c r="D125" s="51"/>
      <c r="E125" s="56"/>
      <c r="F125" s="57"/>
      <c r="G125" s="52"/>
      <c r="H125" s="52"/>
      <c r="I125" s="58"/>
      <c r="J125" s="53"/>
      <c r="K125" s="53"/>
      <c r="L125" s="13"/>
      <c r="M125" s="53"/>
      <c r="N125" s="53"/>
      <c r="O125" s="53"/>
      <c r="P125" s="53"/>
      <c r="Q125" s="53"/>
      <c r="R125" s="54"/>
      <c r="S125" s="54"/>
      <c r="T125" s="53"/>
      <c r="U125" s="53"/>
      <c r="V125" s="54"/>
      <c r="W125" s="54"/>
      <c r="X125" s="54"/>
      <c r="Y125" s="54"/>
      <c r="Z125" s="54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5"/>
    </row>
    <row r="126" spans="1:39" ht="25.05" customHeight="1">
      <c r="B126" s="49"/>
      <c r="C126" s="50"/>
      <c r="D126" s="51"/>
      <c r="E126" s="56"/>
      <c r="F126" s="57"/>
      <c r="G126" s="52"/>
      <c r="H126" s="52"/>
      <c r="I126" s="58"/>
      <c r="J126" s="53"/>
      <c r="K126" s="53"/>
      <c r="L126" s="13"/>
      <c r="M126" s="53"/>
      <c r="N126" s="53"/>
      <c r="O126" s="53"/>
      <c r="P126" s="53"/>
      <c r="Q126" s="53"/>
      <c r="R126" s="54"/>
      <c r="S126" s="54"/>
      <c r="T126" s="53"/>
      <c r="U126" s="53"/>
      <c r="V126" s="54"/>
      <c r="W126" s="54"/>
      <c r="X126" s="54"/>
      <c r="Y126" s="54"/>
      <c r="Z126" s="54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5"/>
    </row>
    <row r="127" spans="1:39" s="34" customFormat="1" ht="25.5" customHeight="1" thickBot="1">
      <c r="A127" s="1"/>
      <c r="B127" s="59"/>
      <c r="C127" s="60"/>
      <c r="D127" s="61"/>
      <c r="E127" s="62"/>
      <c r="F127" s="62"/>
      <c r="G127" s="63"/>
      <c r="H127" s="63"/>
      <c r="I127" s="64"/>
      <c r="J127" s="65"/>
      <c r="K127" s="65">
        <f t="shared" ref="K127:AD127" si="12">SUM(K33:K96)</f>
        <v>3427.5299999999997</v>
      </c>
      <c r="L127" s="33">
        <f t="shared" si="12"/>
        <v>17633.918453080914</v>
      </c>
      <c r="M127" s="65">
        <f t="shared" si="12"/>
        <v>0</v>
      </c>
      <c r="N127" s="65">
        <f t="shared" si="12"/>
        <v>0</v>
      </c>
      <c r="O127" s="65">
        <f t="shared" si="12"/>
        <v>0</v>
      </c>
      <c r="P127" s="65">
        <f t="shared" si="12"/>
        <v>0</v>
      </c>
      <c r="Q127" s="65">
        <f t="shared" si="12"/>
        <v>0</v>
      </c>
      <c r="R127" s="65">
        <f t="shared" si="12"/>
        <v>0</v>
      </c>
      <c r="S127" s="65">
        <f t="shared" si="12"/>
        <v>0</v>
      </c>
      <c r="T127" s="65">
        <f t="shared" si="12"/>
        <v>0</v>
      </c>
      <c r="U127" s="65">
        <f t="shared" si="12"/>
        <v>0</v>
      </c>
      <c r="V127" s="65">
        <f t="shared" si="12"/>
        <v>93</v>
      </c>
      <c r="W127" s="65">
        <f t="shared" si="12"/>
        <v>40</v>
      </c>
      <c r="X127" s="66">
        <f t="shared" si="12"/>
        <v>0</v>
      </c>
      <c r="Y127" s="66">
        <f t="shared" si="12"/>
        <v>0</v>
      </c>
      <c r="Z127" s="66">
        <f t="shared" si="12"/>
        <v>0</v>
      </c>
      <c r="AA127" s="65">
        <f t="shared" si="12"/>
        <v>0</v>
      </c>
      <c r="AB127" s="65">
        <f t="shared" si="12"/>
        <v>101</v>
      </c>
      <c r="AC127" s="65">
        <f t="shared" si="12"/>
        <v>11</v>
      </c>
      <c r="AD127" s="65">
        <f t="shared" si="12"/>
        <v>130</v>
      </c>
      <c r="AE127" s="65"/>
      <c r="AF127" s="65">
        <f t="shared" ref="AF127:AM127" si="13">SUM(AF33:AF96)</f>
        <v>90</v>
      </c>
      <c r="AG127" s="65">
        <f t="shared" si="13"/>
        <v>0</v>
      </c>
      <c r="AH127" s="65">
        <f t="shared" si="13"/>
        <v>106.32333333333334</v>
      </c>
      <c r="AI127" s="65">
        <f t="shared" si="13"/>
        <v>106.32333333333334</v>
      </c>
      <c r="AJ127" s="65">
        <f t="shared" si="13"/>
        <v>106.32333333333334</v>
      </c>
      <c r="AK127" s="65">
        <f t="shared" si="13"/>
        <v>0</v>
      </c>
      <c r="AL127" s="65">
        <f t="shared" si="13"/>
        <v>0</v>
      </c>
      <c r="AM127" s="65">
        <f t="shared" si="13"/>
        <v>0</v>
      </c>
    </row>
    <row r="128" spans="1:39" ht="38.1" customHeight="1" thickBot="1">
      <c r="B128" s="67" t="s">
        <v>161</v>
      </c>
      <c r="C128" s="68"/>
      <c r="D128" s="68"/>
      <c r="E128" s="68"/>
      <c r="F128" s="68"/>
      <c r="G128" s="68"/>
      <c r="H128" s="68"/>
      <c r="I128" s="68"/>
      <c r="J128" s="68"/>
      <c r="K128" s="69">
        <f>K25+K32+K127</f>
        <v>6583.25</v>
      </c>
      <c r="L128" s="69">
        <f>L25+L32+L127</f>
        <v>18761.324139894103</v>
      </c>
      <c r="M128" s="70">
        <f t="shared" ref="M128:AM128" si="14">(M25+M32+M127)/(480-15-30)</f>
        <v>0.13333333333333333</v>
      </c>
      <c r="N128" s="70">
        <f t="shared" si="14"/>
        <v>0</v>
      </c>
      <c r="O128" s="70">
        <f t="shared" si="14"/>
        <v>1.1954022988505748</v>
      </c>
      <c r="P128" s="70">
        <f t="shared" si="14"/>
        <v>0</v>
      </c>
      <c r="Q128" s="70">
        <f t="shared" si="14"/>
        <v>0</v>
      </c>
      <c r="R128" s="70">
        <f t="shared" si="14"/>
        <v>0.12643678160919541</v>
      </c>
      <c r="S128" s="70">
        <f t="shared" si="14"/>
        <v>1.4942528735632183</v>
      </c>
      <c r="T128" s="70">
        <f t="shared" si="14"/>
        <v>0.27586206896551724</v>
      </c>
      <c r="U128" s="70">
        <f t="shared" si="14"/>
        <v>0</v>
      </c>
      <c r="V128" s="70">
        <f t="shared" si="14"/>
        <v>0.21379310344827587</v>
      </c>
      <c r="W128" s="70">
        <f t="shared" si="14"/>
        <v>9.1954022988505746E-2</v>
      </c>
      <c r="X128" s="70">
        <f t="shared" si="14"/>
        <v>0</v>
      </c>
      <c r="Y128" s="70">
        <f t="shared" si="14"/>
        <v>0</v>
      </c>
      <c r="Z128" s="70">
        <f t="shared" si="14"/>
        <v>0</v>
      </c>
      <c r="AA128" s="70">
        <f t="shared" si="14"/>
        <v>0</v>
      </c>
      <c r="AB128" s="70">
        <f t="shared" si="14"/>
        <v>0.23218390804597702</v>
      </c>
      <c r="AC128" s="70">
        <f t="shared" si="14"/>
        <v>2.528735632183908E-2</v>
      </c>
      <c r="AD128" s="70">
        <f t="shared" si="14"/>
        <v>0.2988505747126437</v>
      </c>
      <c r="AE128" s="70">
        <f t="shared" si="14"/>
        <v>0</v>
      </c>
      <c r="AF128" s="70">
        <f t="shared" si="14"/>
        <v>0.20689655172413793</v>
      </c>
      <c r="AG128" s="70">
        <f t="shared" si="14"/>
        <v>0</v>
      </c>
      <c r="AH128" s="70">
        <f t="shared" si="14"/>
        <v>0.24442145593869732</v>
      </c>
      <c r="AI128" s="70">
        <f t="shared" si="14"/>
        <v>0.24442145593869732</v>
      </c>
      <c r="AJ128" s="70">
        <f t="shared" si="14"/>
        <v>0.24442145593869732</v>
      </c>
      <c r="AK128" s="70">
        <f t="shared" si="14"/>
        <v>0</v>
      </c>
      <c r="AL128" s="70">
        <f t="shared" si="14"/>
        <v>0</v>
      </c>
      <c r="AM128" s="70">
        <f t="shared" si="14"/>
        <v>0</v>
      </c>
    </row>
    <row r="129" spans="2:37" ht="25.05" customHeight="1">
      <c r="B129" s="71"/>
      <c r="C129" s="71"/>
      <c r="D129" s="71"/>
      <c r="E129" s="72"/>
      <c r="F129" s="72"/>
      <c r="G129" s="72"/>
      <c r="H129" s="72"/>
      <c r="I129" s="73"/>
      <c r="J129" s="73"/>
      <c r="K129" s="72"/>
      <c r="L129" s="74"/>
      <c r="M129" s="74"/>
      <c r="N129" s="74"/>
      <c r="O129" s="74"/>
      <c r="P129" s="74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</row>
    <row r="130" spans="2:37" ht="25.05" customHeight="1">
      <c r="B130" s="71"/>
      <c r="C130" s="71"/>
      <c r="D130" s="71"/>
      <c r="E130" s="72"/>
      <c r="F130" s="72"/>
      <c r="G130" s="72"/>
      <c r="H130" s="72"/>
      <c r="I130" s="75" t="s">
        <v>162</v>
      </c>
      <c r="J130" s="73"/>
      <c r="K130" s="72"/>
      <c r="L130" s="74"/>
      <c r="M130" s="74"/>
      <c r="N130" s="74"/>
      <c r="O130" s="74"/>
      <c r="P130" s="74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</row>
    <row r="131" spans="2:37" ht="25.05" customHeight="1">
      <c r="B131" s="71"/>
      <c r="C131" s="71"/>
      <c r="D131" s="71"/>
      <c r="E131" s="72"/>
      <c r="F131" s="72"/>
      <c r="G131" s="72"/>
      <c r="H131" s="72"/>
      <c r="I131" s="76" t="s">
        <v>163</v>
      </c>
      <c r="J131" s="10">
        <v>0</v>
      </c>
      <c r="K131" s="12">
        <v>10</v>
      </c>
      <c r="L131" s="12" t="s">
        <v>164</v>
      </c>
      <c r="M131" s="74"/>
      <c r="N131" s="16">
        <v>2</v>
      </c>
      <c r="O131" s="16"/>
      <c r="P131" s="16"/>
      <c r="Q131" s="77" t="s">
        <v>165</v>
      </c>
      <c r="R131" s="78"/>
      <c r="S131" s="72"/>
      <c r="T131" s="72"/>
      <c r="U131" s="72"/>
      <c r="V131" s="72"/>
      <c r="W131" s="72"/>
      <c r="X131" s="72"/>
      <c r="Y131" s="72"/>
      <c r="Z131" s="72"/>
      <c r="AA131" s="72"/>
      <c r="AC131" s="72"/>
      <c r="AD131" s="72"/>
      <c r="AE131" s="72"/>
      <c r="AF131" s="72"/>
      <c r="AG131" s="72"/>
      <c r="AH131" s="72"/>
      <c r="AI131" s="72"/>
    </row>
    <row r="132" spans="2:37" ht="25.05" customHeight="1">
      <c r="B132" s="71"/>
      <c r="C132" s="71"/>
      <c r="D132" s="71"/>
      <c r="E132" s="72"/>
      <c r="F132" s="72"/>
      <c r="G132" s="72"/>
      <c r="H132" s="72"/>
      <c r="I132" s="76" t="s">
        <v>166</v>
      </c>
      <c r="J132" s="10">
        <v>0</v>
      </c>
      <c r="K132" s="12">
        <v>3</v>
      </c>
      <c r="L132" s="12" t="s">
        <v>164</v>
      </c>
      <c r="M132" s="74"/>
      <c r="N132" s="16">
        <v>4</v>
      </c>
      <c r="O132" s="16"/>
      <c r="P132" s="16"/>
      <c r="Q132" s="77" t="s">
        <v>167</v>
      </c>
      <c r="R132" s="78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</row>
    <row r="133" spans="2:37" ht="25.05" customHeight="1">
      <c r="B133" s="71"/>
      <c r="C133" s="71"/>
      <c r="D133" s="71"/>
      <c r="E133" s="72"/>
      <c r="F133" s="72"/>
      <c r="G133" s="72"/>
      <c r="H133" s="72"/>
      <c r="I133" s="76" t="s">
        <v>168</v>
      </c>
      <c r="J133" s="10">
        <v>0</v>
      </c>
      <c r="K133" s="12">
        <v>18</v>
      </c>
      <c r="L133" s="12" t="s">
        <v>164</v>
      </c>
      <c r="M133" s="74"/>
      <c r="N133" s="16">
        <v>1</v>
      </c>
      <c r="O133" s="16"/>
      <c r="P133" s="16"/>
      <c r="Q133" s="77" t="s">
        <v>169</v>
      </c>
      <c r="R133" s="78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</row>
    <row r="134" spans="2:37" ht="25.05" customHeight="1">
      <c r="B134" s="71"/>
      <c r="C134" s="71"/>
      <c r="D134" s="71"/>
      <c r="E134" s="72"/>
      <c r="F134" s="72"/>
      <c r="G134" s="72"/>
      <c r="H134" s="72"/>
      <c r="I134" s="79" t="s">
        <v>170</v>
      </c>
      <c r="J134" s="52">
        <v>0</v>
      </c>
      <c r="K134" s="12">
        <v>5</v>
      </c>
      <c r="L134" s="53" t="s">
        <v>164</v>
      </c>
      <c r="M134" s="74"/>
      <c r="N134" s="16">
        <v>3</v>
      </c>
      <c r="O134" s="16"/>
      <c r="P134" s="16"/>
      <c r="Q134" s="77" t="s">
        <v>171</v>
      </c>
      <c r="R134" s="78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</row>
    <row r="135" spans="2:37" ht="25.05" customHeight="1">
      <c r="B135" s="71"/>
      <c r="C135" s="71"/>
      <c r="D135" s="71"/>
      <c r="E135" s="72"/>
      <c r="F135" s="72"/>
      <c r="G135" s="72"/>
      <c r="H135" s="72"/>
      <c r="I135" s="76" t="s">
        <v>172</v>
      </c>
      <c r="J135" s="10">
        <v>0</v>
      </c>
      <c r="K135" s="12">
        <v>36</v>
      </c>
      <c r="L135" s="12" t="s">
        <v>164</v>
      </c>
      <c r="M135" s="74"/>
      <c r="N135"/>
      <c r="O135"/>
      <c r="P135"/>
      <c r="Q135"/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72"/>
      <c r="AE135" s="72"/>
      <c r="AF135" s="72"/>
      <c r="AG135" s="72"/>
      <c r="AH135" s="72"/>
      <c r="AI135" s="72"/>
    </row>
    <row r="136" spans="2:37" ht="25.05" customHeight="1">
      <c r="B136" s="71"/>
      <c r="C136" s="71"/>
      <c r="D136" s="71"/>
      <c r="E136" s="72"/>
      <c r="F136" s="72"/>
      <c r="G136" s="72"/>
      <c r="H136" s="72"/>
      <c r="M136" s="74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72"/>
      <c r="AE136" s="72"/>
      <c r="AF136" s="72"/>
      <c r="AG136" s="72"/>
      <c r="AH136" s="72"/>
      <c r="AI136" s="72"/>
    </row>
    <row r="137" spans="2:37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M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C59C6-EA04-426C-8051-283FB8795A74}">
  <sheetPr>
    <pageSetUpPr fitToPage="1"/>
  </sheetPr>
  <dimension ref="A1:AN76"/>
  <sheetViews>
    <sheetView zoomScale="40" zoomScaleNormal="4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1" customWidth="1"/>
    <col min="2" max="2" width="13" style="1" customWidth="1"/>
    <col min="3" max="3" width="17.5546875" style="1" customWidth="1"/>
    <col min="4" max="4" width="78.21875" style="1" customWidth="1"/>
    <col min="5" max="5" width="46" style="1" customWidth="1"/>
    <col min="6" max="6" width="25.21875" style="1" customWidth="1"/>
    <col min="7" max="7" width="13.44140625" style="1" customWidth="1"/>
    <col min="8" max="8" width="12.5546875" style="1" customWidth="1"/>
    <col min="9" max="9" width="22.5546875" style="1" customWidth="1"/>
    <col min="10" max="10" width="12.5546875" style="1" customWidth="1"/>
    <col min="11" max="11" width="17.44140625" style="1" customWidth="1"/>
    <col min="12" max="12" width="20.77734375" style="1" customWidth="1"/>
    <col min="13" max="32" width="16.21875" style="1" customWidth="1"/>
    <col min="33" max="33" width="17.77734375" style="1" customWidth="1"/>
    <col min="34" max="39" width="16.21875" style="1" customWidth="1"/>
    <col min="40" max="40" width="14.44140625" style="1" customWidth="1"/>
    <col min="41" max="16384" width="10.21875" style="1"/>
  </cols>
  <sheetData>
    <row r="1" spans="1:40" ht="18.75" customHeight="1">
      <c r="A1" s="1" t="s">
        <v>0</v>
      </c>
    </row>
    <row r="2" spans="1:40" ht="25.05" customHeight="1">
      <c r="B2" s="114" t="s">
        <v>1</v>
      </c>
      <c r="C2" s="114" t="s">
        <v>2</v>
      </c>
      <c r="D2" s="114" t="s">
        <v>3</v>
      </c>
      <c r="E2" s="114" t="s">
        <v>4</v>
      </c>
      <c r="F2" s="114" t="s">
        <v>5</v>
      </c>
      <c r="G2" s="115" t="s">
        <v>6</v>
      </c>
      <c r="H2" s="115"/>
      <c r="I2" s="109" t="s">
        <v>7</v>
      </c>
      <c r="J2" s="110" t="s">
        <v>8</v>
      </c>
      <c r="K2" s="110" t="s">
        <v>9</v>
      </c>
      <c r="L2" s="110" t="s">
        <v>10</v>
      </c>
      <c r="M2" s="111" t="s">
        <v>11</v>
      </c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3"/>
    </row>
    <row r="3" spans="1:40" ht="46.5" customHeight="1">
      <c r="B3" s="114"/>
      <c r="C3" s="114"/>
      <c r="D3" s="114"/>
      <c r="E3" s="114"/>
      <c r="F3" s="114"/>
      <c r="G3" s="3" t="s">
        <v>12</v>
      </c>
      <c r="H3" s="3" t="s">
        <v>13</v>
      </c>
      <c r="I3" s="109"/>
      <c r="J3" s="110"/>
      <c r="K3" s="110"/>
      <c r="L3" s="110"/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4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173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</row>
    <row r="4" spans="1:40" ht="25.05" customHeight="1">
      <c r="B4" s="15">
        <v>46107</v>
      </c>
      <c r="C4" s="6" t="s">
        <v>42</v>
      </c>
      <c r="D4" s="80" t="s">
        <v>174</v>
      </c>
      <c r="E4" s="8" t="s">
        <v>43</v>
      </c>
      <c r="F4" s="9" t="s">
        <v>44</v>
      </c>
      <c r="G4" s="10">
        <v>0.79166666666666663</v>
      </c>
      <c r="H4" s="10">
        <v>0.79861111111111116</v>
      </c>
      <c r="I4" s="11">
        <f t="shared" ref="I4:I22" si="0">H4-G4</f>
        <v>6.9444444444445308E-3</v>
      </c>
      <c r="J4" s="12">
        <v>8</v>
      </c>
      <c r="K4" s="81" t="s">
        <v>44</v>
      </c>
      <c r="L4" s="82" t="s">
        <v>44</v>
      </c>
      <c r="M4" s="12"/>
      <c r="N4" s="12"/>
      <c r="O4" s="12"/>
      <c r="P4" s="12"/>
      <c r="Q4" s="12"/>
      <c r="R4" s="14"/>
      <c r="S4" s="14"/>
      <c r="T4" s="12"/>
      <c r="U4" s="12"/>
      <c r="V4" s="14"/>
      <c r="W4" s="14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ht="25.05" customHeight="1">
      <c r="B5" s="15"/>
      <c r="C5" s="16"/>
      <c r="D5" s="23" t="s">
        <v>77</v>
      </c>
      <c r="E5" s="20" t="s">
        <v>175</v>
      </c>
      <c r="F5" s="83" t="s">
        <v>176</v>
      </c>
      <c r="G5" s="10">
        <v>0.84722222222222221</v>
      </c>
      <c r="H5" s="10">
        <v>0.85416666666666663</v>
      </c>
      <c r="I5" s="11">
        <f t="shared" si="0"/>
        <v>6.9444444444444198E-3</v>
      </c>
      <c r="J5" s="12">
        <v>1</v>
      </c>
      <c r="K5" s="12">
        <v>11.39</v>
      </c>
      <c r="L5" s="13">
        <f t="shared" ref="L5:L22" si="1">IFERROR(((K5/(J5*I5)/24)),"0")</f>
        <v>68.340000000000245</v>
      </c>
      <c r="M5" s="12">
        <v>10</v>
      </c>
      <c r="N5" s="12"/>
      <c r="O5" s="12"/>
      <c r="P5" s="12"/>
      <c r="Q5" s="12"/>
      <c r="R5" s="14"/>
      <c r="S5" s="14"/>
      <c r="T5" s="12"/>
      <c r="U5" s="12"/>
      <c r="V5" s="14"/>
      <c r="W5" s="14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ht="25.5" customHeight="1">
      <c r="B6" s="15"/>
      <c r="C6" s="16"/>
      <c r="D6" s="7"/>
      <c r="E6" s="20" t="s">
        <v>177</v>
      </c>
      <c r="F6" s="84" t="s">
        <v>44</v>
      </c>
      <c r="G6" s="10">
        <v>0.8305555555555556</v>
      </c>
      <c r="H6" s="10">
        <v>0.88888888888888884</v>
      </c>
      <c r="I6" s="11">
        <f t="shared" si="0"/>
        <v>5.8333333333333237E-2</v>
      </c>
      <c r="J6" s="12">
        <v>1</v>
      </c>
      <c r="K6" s="12">
        <v>58.61</v>
      </c>
      <c r="L6" s="13">
        <f t="shared" si="1"/>
        <v>41.864285714285785</v>
      </c>
      <c r="M6" s="12"/>
      <c r="N6" s="12"/>
      <c r="O6" s="12"/>
      <c r="P6" s="12"/>
      <c r="Q6" s="12"/>
      <c r="R6" s="14"/>
      <c r="S6" s="14"/>
      <c r="T6" s="12"/>
      <c r="U6" s="12"/>
      <c r="V6" s="14"/>
      <c r="W6" s="14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</row>
    <row r="7" spans="1:40" ht="25.05" customHeight="1">
      <c r="B7" s="15"/>
      <c r="C7" s="16"/>
      <c r="D7" s="7"/>
      <c r="E7" s="20" t="s">
        <v>178</v>
      </c>
      <c r="F7" s="83" t="s">
        <v>179</v>
      </c>
      <c r="G7" s="10">
        <v>0.9194444444444444</v>
      </c>
      <c r="H7" s="10">
        <v>0.99305555555555558</v>
      </c>
      <c r="I7" s="11">
        <f t="shared" si="0"/>
        <v>7.3611111111111183E-2</v>
      </c>
      <c r="J7" s="12">
        <v>5</v>
      </c>
      <c r="K7" s="12">
        <v>14.02</v>
      </c>
      <c r="L7" s="13">
        <f t="shared" si="1"/>
        <v>1.5871698113207531</v>
      </c>
      <c r="M7" s="12"/>
      <c r="N7" s="12"/>
      <c r="O7" s="12"/>
      <c r="P7" s="12"/>
      <c r="Q7" s="12"/>
      <c r="R7" s="14"/>
      <c r="S7" s="14">
        <v>106</v>
      </c>
      <c r="T7" s="12"/>
      <c r="U7" s="12"/>
      <c r="V7" s="14"/>
      <c r="W7" s="14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</row>
    <row r="8" spans="1:40" ht="25.05" customHeight="1">
      <c r="B8" s="15"/>
      <c r="C8" s="16"/>
      <c r="D8" s="7"/>
      <c r="E8" s="20" t="s">
        <v>180</v>
      </c>
      <c r="F8" s="83" t="s">
        <v>181</v>
      </c>
      <c r="G8" s="10">
        <v>9.7222222222222224E-2</v>
      </c>
      <c r="H8" s="10">
        <v>0.20833333333333334</v>
      </c>
      <c r="I8" s="11">
        <f t="shared" si="0"/>
        <v>0.11111111111111112</v>
      </c>
      <c r="J8" s="12">
        <v>10</v>
      </c>
      <c r="K8" s="12">
        <v>359.64</v>
      </c>
      <c r="L8" s="13">
        <f t="shared" si="1"/>
        <v>13.486499999999999</v>
      </c>
      <c r="M8" s="12"/>
      <c r="N8" s="12"/>
      <c r="O8" s="12">
        <v>160</v>
      </c>
      <c r="P8" s="12"/>
      <c r="Q8" s="12"/>
      <c r="R8" s="14"/>
      <c r="S8" s="14"/>
      <c r="T8" s="12"/>
      <c r="U8" s="12"/>
      <c r="V8" s="14"/>
      <c r="W8" s="14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</row>
    <row r="9" spans="1:40" ht="25.05" customHeight="1">
      <c r="B9" s="15"/>
      <c r="C9" s="16"/>
      <c r="D9" s="23" t="s">
        <v>182</v>
      </c>
      <c r="E9" s="85" t="s">
        <v>183</v>
      </c>
      <c r="F9" s="83" t="s">
        <v>184</v>
      </c>
      <c r="G9" s="10">
        <v>0.8305555555555556</v>
      </c>
      <c r="H9" s="10">
        <v>0.89583333333333337</v>
      </c>
      <c r="I9" s="11">
        <f t="shared" si="0"/>
        <v>6.5277777777777768E-2</v>
      </c>
      <c r="J9" s="12">
        <v>1</v>
      </c>
      <c r="K9" s="12">
        <v>15.45</v>
      </c>
      <c r="L9" s="13">
        <f t="shared" si="1"/>
        <v>9.8617021276595747</v>
      </c>
      <c r="M9" s="12"/>
      <c r="N9" s="12"/>
      <c r="O9" s="12"/>
      <c r="P9" s="12"/>
      <c r="Q9" s="12"/>
      <c r="R9" s="14"/>
      <c r="S9" s="14">
        <v>94</v>
      </c>
      <c r="T9" s="12"/>
      <c r="U9" s="12"/>
      <c r="V9" s="14"/>
      <c r="W9" s="14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</row>
    <row r="10" spans="1:40" ht="25.05" customHeight="1">
      <c r="B10" s="15"/>
      <c r="C10" s="16"/>
      <c r="D10" s="7"/>
      <c r="E10" s="17" t="s">
        <v>185</v>
      </c>
      <c r="F10" s="83" t="s">
        <v>186</v>
      </c>
      <c r="G10" s="10">
        <v>0.82499999999999996</v>
      </c>
      <c r="H10" s="10">
        <v>0.8305555555555556</v>
      </c>
      <c r="I10" s="11">
        <f t="shared" si="0"/>
        <v>5.5555555555556468E-3</v>
      </c>
      <c r="J10" s="12">
        <v>1</v>
      </c>
      <c r="K10" s="12">
        <v>7.2</v>
      </c>
      <c r="L10" s="13">
        <f t="shared" si="1"/>
        <v>53.999999999999112</v>
      </c>
      <c r="M10" s="12">
        <v>8</v>
      </c>
      <c r="N10" s="12"/>
      <c r="O10" s="12"/>
      <c r="P10" s="12"/>
      <c r="Q10" s="12"/>
      <c r="R10" s="14"/>
      <c r="S10" s="14"/>
      <c r="T10" s="12"/>
      <c r="U10" s="12"/>
      <c r="V10" s="14"/>
      <c r="W10" s="14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</row>
    <row r="11" spans="1:40" ht="25.05" customHeight="1">
      <c r="B11" s="15"/>
      <c r="C11" s="16"/>
      <c r="D11" s="7"/>
      <c r="E11" s="17" t="s">
        <v>187</v>
      </c>
      <c r="F11" s="83" t="s">
        <v>186</v>
      </c>
      <c r="G11" s="10">
        <v>0.86111111111111116</v>
      </c>
      <c r="H11" s="10">
        <v>0.87291666666666667</v>
      </c>
      <c r="I11" s="11">
        <f t="shared" si="0"/>
        <v>1.1805555555555514E-2</v>
      </c>
      <c r="J11" s="12">
        <v>1</v>
      </c>
      <c r="K11" s="12">
        <v>7.2</v>
      </c>
      <c r="L11" s="13">
        <f t="shared" si="1"/>
        <v>25.411764705882444</v>
      </c>
      <c r="M11" s="12">
        <v>17</v>
      </c>
      <c r="N11" s="12"/>
      <c r="O11" s="12"/>
      <c r="P11" s="12"/>
      <c r="Q11" s="12"/>
      <c r="R11" s="14"/>
      <c r="S11" s="14"/>
      <c r="T11" s="12"/>
      <c r="U11" s="12"/>
      <c r="V11" s="14"/>
      <c r="W11" s="14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</row>
    <row r="12" spans="1:40" ht="25.05" customHeight="1">
      <c r="B12" s="15"/>
      <c r="C12" s="16"/>
      <c r="D12" s="7"/>
      <c r="E12" s="86" t="s">
        <v>188</v>
      </c>
      <c r="F12" s="83" t="s">
        <v>189</v>
      </c>
      <c r="G12" s="10">
        <v>0.82499999999999996</v>
      </c>
      <c r="H12" s="10">
        <v>0.8305555555555556</v>
      </c>
      <c r="I12" s="11">
        <f t="shared" si="0"/>
        <v>5.5555555555556468E-3</v>
      </c>
      <c r="J12" s="12">
        <v>1</v>
      </c>
      <c r="K12" s="87">
        <v>12.55</v>
      </c>
      <c r="L12" s="13">
        <f t="shared" si="1"/>
        <v>94.124999999998465</v>
      </c>
      <c r="M12" s="12">
        <v>8</v>
      </c>
      <c r="N12" s="12"/>
      <c r="O12" s="12"/>
      <c r="P12" s="12"/>
      <c r="Q12" s="12"/>
      <c r="R12" s="14"/>
      <c r="S12" s="14"/>
      <c r="T12" s="12"/>
      <c r="U12" s="12"/>
      <c r="V12" s="14"/>
      <c r="W12" s="14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</row>
    <row r="13" spans="1:40" ht="25.05" customHeight="1">
      <c r="B13" s="15"/>
      <c r="C13" s="16"/>
      <c r="D13" s="23" t="s">
        <v>120</v>
      </c>
      <c r="E13" s="20" t="s">
        <v>190</v>
      </c>
      <c r="F13" s="83" t="s">
        <v>186</v>
      </c>
      <c r="G13" s="10">
        <v>0.87708333333333333</v>
      </c>
      <c r="H13" s="10">
        <v>0.88888888888888884</v>
      </c>
      <c r="I13" s="11">
        <f t="shared" si="0"/>
        <v>1.1805555555555514E-2</v>
      </c>
      <c r="J13" s="12">
        <v>1</v>
      </c>
      <c r="K13" s="12">
        <v>3.8</v>
      </c>
      <c r="L13" s="13">
        <f t="shared" si="1"/>
        <v>13.411764705882399</v>
      </c>
      <c r="M13" s="12">
        <v>17</v>
      </c>
      <c r="N13" s="12"/>
      <c r="O13" s="12"/>
      <c r="P13" s="12"/>
      <c r="Q13" s="12"/>
      <c r="R13" s="14"/>
      <c r="S13" s="14"/>
      <c r="T13" s="12"/>
      <c r="U13" s="12"/>
      <c r="V13" s="14"/>
      <c r="W13" s="14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</row>
    <row r="14" spans="1:40" ht="25.05" customHeight="1">
      <c r="B14" s="15"/>
      <c r="C14" s="16"/>
      <c r="D14" s="7"/>
      <c r="E14" s="20" t="s">
        <v>191</v>
      </c>
      <c r="F14" s="83" t="s">
        <v>192</v>
      </c>
      <c r="G14" s="10">
        <v>0.88888888888888884</v>
      </c>
      <c r="H14" s="10">
        <v>0.90069444444444446</v>
      </c>
      <c r="I14" s="11">
        <f t="shared" si="0"/>
        <v>1.1805555555555625E-2</v>
      </c>
      <c r="J14" s="12">
        <v>1</v>
      </c>
      <c r="K14" s="12">
        <v>27.4</v>
      </c>
      <c r="L14" s="13">
        <f t="shared" si="1"/>
        <v>96.705882352940606</v>
      </c>
      <c r="M14" s="12">
        <v>17</v>
      </c>
      <c r="N14" s="12"/>
      <c r="O14" s="12"/>
      <c r="P14" s="12"/>
      <c r="Q14" s="12"/>
      <c r="R14" s="14"/>
      <c r="S14" s="14"/>
      <c r="T14" s="12"/>
      <c r="U14" s="12"/>
      <c r="V14" s="14"/>
      <c r="W14" s="14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</row>
    <row r="15" spans="1:40" ht="25.05" customHeight="1">
      <c r="B15" s="15"/>
      <c r="C15" s="16"/>
      <c r="D15" s="7"/>
      <c r="E15" s="20" t="s">
        <v>193</v>
      </c>
      <c r="F15" s="84" t="s">
        <v>44</v>
      </c>
      <c r="G15" s="10">
        <v>0.8125</v>
      </c>
      <c r="H15" s="10">
        <v>0.82847222222222228</v>
      </c>
      <c r="I15" s="11">
        <f t="shared" si="0"/>
        <v>1.5972222222222276E-2</v>
      </c>
      <c r="J15" s="12">
        <v>2</v>
      </c>
      <c r="K15" s="12">
        <v>149.4</v>
      </c>
      <c r="L15" s="13">
        <f t="shared" si="1"/>
        <v>194.86956521739066</v>
      </c>
      <c r="M15" s="12"/>
      <c r="N15" s="12"/>
      <c r="O15" s="12"/>
      <c r="P15" s="12"/>
      <c r="Q15" s="12"/>
      <c r="R15" s="14"/>
      <c r="S15" s="14"/>
      <c r="T15" s="12"/>
      <c r="U15" s="12"/>
      <c r="V15" s="14"/>
      <c r="W15" s="14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</row>
    <row r="16" spans="1:40" ht="25.05" customHeight="1">
      <c r="B16" s="15"/>
      <c r="C16" s="16"/>
      <c r="D16" s="7"/>
      <c r="E16" s="20" t="s">
        <v>194</v>
      </c>
      <c r="F16" s="83" t="s">
        <v>195</v>
      </c>
      <c r="G16" s="10">
        <v>0.83194444444444449</v>
      </c>
      <c r="H16" s="10">
        <v>46108.03125</v>
      </c>
      <c r="I16" s="11">
        <f t="shared" si="0"/>
        <v>46107.199305555558</v>
      </c>
      <c r="J16" s="12">
        <v>6</v>
      </c>
      <c r="K16" s="12">
        <v>156.91999999999999</v>
      </c>
      <c r="L16" s="13">
        <f t="shared" si="1"/>
        <v>2.3634535140609137E-5</v>
      </c>
      <c r="M16" s="12"/>
      <c r="N16" s="12"/>
      <c r="O16" s="12"/>
      <c r="P16" s="12"/>
      <c r="Q16" s="12"/>
      <c r="R16" s="14"/>
      <c r="S16" s="14">
        <v>287</v>
      </c>
      <c r="T16" s="12"/>
      <c r="U16" s="12"/>
      <c r="V16" s="14"/>
      <c r="W16" s="14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</row>
    <row r="17" spans="1:40" ht="25.05" customHeight="1">
      <c r="B17" s="15"/>
      <c r="C17" s="16"/>
      <c r="D17" s="7"/>
      <c r="E17" s="88" t="s">
        <v>196</v>
      </c>
      <c r="F17" s="83" t="s">
        <v>186</v>
      </c>
      <c r="G17" s="10">
        <v>0.99652777777777779</v>
      </c>
      <c r="H17" s="10">
        <v>46108.010416666664</v>
      </c>
      <c r="I17" s="11">
        <f t="shared" si="0"/>
        <v>46107.013888888883</v>
      </c>
      <c r="J17" s="12">
        <v>1</v>
      </c>
      <c r="K17" s="12">
        <v>2</v>
      </c>
      <c r="L17" s="13">
        <f t="shared" si="1"/>
        <v>1.8073895120198935E-6</v>
      </c>
      <c r="M17" s="12">
        <v>20</v>
      </c>
      <c r="N17" s="12"/>
      <c r="O17" s="12"/>
      <c r="P17" s="12"/>
      <c r="Q17" s="12"/>
      <c r="R17" s="14"/>
      <c r="S17" s="14"/>
      <c r="T17" s="12"/>
      <c r="U17" s="12"/>
      <c r="V17" s="14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</row>
    <row r="18" spans="1:40" ht="25.5" customHeight="1">
      <c r="B18" s="15"/>
      <c r="C18" s="16"/>
      <c r="D18" s="7"/>
      <c r="E18" s="89" t="s">
        <v>197</v>
      </c>
      <c r="F18" s="83" t="s">
        <v>192</v>
      </c>
      <c r="G18" s="10">
        <v>0.90208333333333335</v>
      </c>
      <c r="H18" s="10">
        <v>0.91666666666666663</v>
      </c>
      <c r="I18" s="11">
        <f t="shared" si="0"/>
        <v>1.4583333333333282E-2</v>
      </c>
      <c r="J18" s="12">
        <v>8</v>
      </c>
      <c r="K18" s="12">
        <v>32</v>
      </c>
      <c r="L18" s="13">
        <f t="shared" si="1"/>
        <v>11.428571428571468</v>
      </c>
      <c r="M18" s="12">
        <v>21</v>
      </c>
      <c r="N18" s="12"/>
      <c r="O18" s="12"/>
      <c r="P18" s="12"/>
      <c r="Q18" s="12"/>
      <c r="R18" s="14"/>
      <c r="S18" s="14"/>
      <c r="T18" s="12"/>
      <c r="U18" s="12"/>
      <c r="V18" s="14"/>
      <c r="W18" s="14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</row>
    <row r="19" spans="1:40" ht="25.5" customHeight="1">
      <c r="B19" s="15"/>
      <c r="C19" s="16"/>
      <c r="D19" s="7"/>
      <c r="E19" s="20" t="s">
        <v>198</v>
      </c>
      <c r="F19" s="84" t="s">
        <v>44</v>
      </c>
      <c r="G19" s="10">
        <v>9.5138888888888884E-2</v>
      </c>
      <c r="H19" s="10">
        <v>0.12222222222222222</v>
      </c>
      <c r="I19" s="11">
        <f t="shared" si="0"/>
        <v>2.7083333333333334E-2</v>
      </c>
      <c r="J19" s="12">
        <v>3</v>
      </c>
      <c r="K19" s="12">
        <v>72</v>
      </c>
      <c r="L19" s="13">
        <f t="shared" si="1"/>
        <v>36.92307692307692</v>
      </c>
      <c r="M19" s="12"/>
      <c r="N19" s="12"/>
      <c r="O19" s="12"/>
      <c r="P19" s="12"/>
      <c r="Q19" s="12"/>
      <c r="R19" s="14"/>
      <c r="S19" s="14"/>
      <c r="T19" s="12"/>
      <c r="U19" s="12"/>
      <c r="V19" s="14"/>
      <c r="W19" s="14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</row>
    <row r="20" spans="1:40" ht="25.05" customHeight="1">
      <c r="B20" s="15"/>
      <c r="C20" s="16"/>
      <c r="D20" s="7"/>
      <c r="E20" s="20" t="s">
        <v>199</v>
      </c>
      <c r="F20" s="83" t="s">
        <v>200</v>
      </c>
      <c r="G20" s="10">
        <v>0.125</v>
      </c>
      <c r="H20" s="10">
        <v>0.16319444444444445</v>
      </c>
      <c r="I20" s="11">
        <f t="shared" si="0"/>
        <v>3.8194444444444448E-2</v>
      </c>
      <c r="J20" s="12">
        <v>3</v>
      </c>
      <c r="K20" s="12">
        <v>38</v>
      </c>
      <c r="L20" s="13">
        <f t="shared" si="1"/>
        <v>13.818181818181818</v>
      </c>
      <c r="M20" s="12"/>
      <c r="N20" s="12"/>
      <c r="O20" s="12"/>
      <c r="P20" s="12"/>
      <c r="Q20" s="12"/>
      <c r="R20" s="14"/>
      <c r="S20" s="14">
        <v>55</v>
      </c>
      <c r="T20" s="12"/>
      <c r="U20" s="12"/>
      <c r="V20" s="14"/>
      <c r="W20" s="14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</row>
    <row r="21" spans="1:40" ht="25.05" customHeight="1">
      <c r="B21" s="15"/>
      <c r="C21" s="16"/>
      <c r="D21" s="7"/>
      <c r="E21" s="20"/>
      <c r="F21" s="83"/>
      <c r="G21" s="10"/>
      <c r="H21" s="10"/>
      <c r="I21" s="11">
        <f t="shared" si="0"/>
        <v>0</v>
      </c>
      <c r="J21" s="12"/>
      <c r="K21" s="12"/>
      <c r="L21" s="13" t="str">
        <f t="shared" si="1"/>
        <v>0</v>
      </c>
      <c r="M21" s="12"/>
      <c r="N21" s="12"/>
      <c r="O21" s="12"/>
      <c r="P21" s="12"/>
      <c r="Q21" s="12"/>
      <c r="R21" s="14"/>
      <c r="S21" s="14"/>
      <c r="T21" s="12"/>
      <c r="U21" s="12"/>
      <c r="V21" s="14"/>
      <c r="W21" s="14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</row>
    <row r="22" spans="1:40" ht="25.05" customHeight="1">
      <c r="B22" s="15"/>
      <c r="C22" s="16"/>
      <c r="D22" s="7"/>
      <c r="E22" s="20"/>
      <c r="F22" s="83"/>
      <c r="G22" s="10"/>
      <c r="H22" s="10"/>
      <c r="I22" s="11">
        <f t="shared" si="0"/>
        <v>0</v>
      </c>
      <c r="J22" s="12"/>
      <c r="K22" s="12"/>
      <c r="L22" s="13" t="str">
        <f t="shared" si="1"/>
        <v>0</v>
      </c>
      <c r="M22" s="12"/>
      <c r="N22" s="12"/>
      <c r="O22" s="12"/>
      <c r="P22" s="12"/>
      <c r="Q22" s="12"/>
      <c r="R22" s="14"/>
      <c r="S22" s="14"/>
      <c r="T22" s="12"/>
      <c r="U22" s="12"/>
      <c r="V22" s="14"/>
      <c r="W22" s="14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</row>
    <row r="23" spans="1:40" s="34" customFormat="1" ht="25.05" customHeight="1">
      <c r="A23" s="1"/>
      <c r="B23" s="27"/>
      <c r="C23" s="28"/>
      <c r="D23" s="29"/>
      <c r="E23" s="30"/>
      <c r="F23" s="30"/>
      <c r="G23" s="31"/>
      <c r="H23" s="31"/>
      <c r="I23" s="32"/>
      <c r="J23" s="18"/>
      <c r="K23" s="18">
        <f t="shared" ref="K23:AE23" si="2">SUM(K4:K21)</f>
        <v>967.57999999999993</v>
      </c>
      <c r="L23" s="33">
        <f t="shared" si="2"/>
        <v>675.83349024711492</v>
      </c>
      <c r="M23" s="18">
        <f t="shared" si="2"/>
        <v>118</v>
      </c>
      <c r="N23" s="18">
        <f t="shared" si="2"/>
        <v>0</v>
      </c>
      <c r="O23" s="18">
        <f t="shared" si="2"/>
        <v>160</v>
      </c>
      <c r="P23" s="18">
        <f t="shared" si="2"/>
        <v>0</v>
      </c>
      <c r="Q23" s="18">
        <f t="shared" si="2"/>
        <v>0</v>
      </c>
      <c r="R23" s="18">
        <f t="shared" si="2"/>
        <v>0</v>
      </c>
      <c r="S23" s="18">
        <f t="shared" si="2"/>
        <v>542</v>
      </c>
      <c r="T23" s="18">
        <f t="shared" si="2"/>
        <v>0</v>
      </c>
      <c r="U23" s="18">
        <f t="shared" si="2"/>
        <v>0</v>
      </c>
      <c r="V23" s="18">
        <f t="shared" si="2"/>
        <v>0</v>
      </c>
      <c r="W23" s="18">
        <f t="shared" si="2"/>
        <v>0</v>
      </c>
      <c r="X23" s="18">
        <f t="shared" si="2"/>
        <v>0</v>
      </c>
      <c r="Y23" s="18">
        <f t="shared" si="2"/>
        <v>0</v>
      </c>
      <c r="Z23" s="18">
        <f t="shared" si="2"/>
        <v>0</v>
      </c>
      <c r="AA23" s="18">
        <f t="shared" si="2"/>
        <v>0</v>
      </c>
      <c r="AB23" s="18">
        <f>SUM(AB4:AB21)</f>
        <v>0</v>
      </c>
      <c r="AC23" s="18">
        <f t="shared" si="2"/>
        <v>0</v>
      </c>
      <c r="AD23" s="18">
        <f t="shared" si="2"/>
        <v>0</v>
      </c>
      <c r="AE23" s="18">
        <f t="shared" si="2"/>
        <v>0</v>
      </c>
      <c r="AF23" s="18"/>
      <c r="AG23" s="18">
        <f t="shared" ref="AG23:AN23" si="3">SUM(AG4:AG21)</f>
        <v>0</v>
      </c>
      <c r="AH23" s="18">
        <f t="shared" si="3"/>
        <v>0</v>
      </c>
      <c r="AI23" s="18">
        <f t="shared" si="3"/>
        <v>0</v>
      </c>
      <c r="AJ23" s="18">
        <f t="shared" si="3"/>
        <v>0</v>
      </c>
      <c r="AK23" s="18">
        <f t="shared" si="3"/>
        <v>0</v>
      </c>
      <c r="AL23" s="18">
        <f t="shared" si="3"/>
        <v>0</v>
      </c>
      <c r="AM23" s="18">
        <f t="shared" si="3"/>
        <v>0</v>
      </c>
      <c r="AN23" s="18">
        <f t="shared" si="3"/>
        <v>0</v>
      </c>
    </row>
    <row r="24" spans="1:40" ht="25.05" customHeight="1">
      <c r="B24" s="15"/>
      <c r="C24" s="16" t="s">
        <v>71</v>
      </c>
      <c r="D24" s="7"/>
      <c r="E24" s="8" t="s">
        <v>43</v>
      </c>
      <c r="F24" s="9" t="s">
        <v>44</v>
      </c>
      <c r="G24" s="10"/>
      <c r="H24" s="10"/>
      <c r="I24" s="11">
        <f>H24-G24</f>
        <v>0</v>
      </c>
      <c r="J24" s="12"/>
      <c r="K24" s="12"/>
      <c r="L24" s="13" t="str">
        <f>IFERROR(((K24/(J24*I24)/24)),"0")</f>
        <v>0</v>
      </c>
      <c r="M24" s="12"/>
      <c r="N24" s="12"/>
      <c r="O24" s="12"/>
      <c r="P24" s="12"/>
      <c r="Q24" s="12"/>
      <c r="R24" s="14"/>
      <c r="S24" s="14"/>
      <c r="T24" s="12"/>
      <c r="U24" s="12"/>
      <c r="V24" s="14"/>
      <c r="W24" s="14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</row>
    <row r="25" spans="1:40" ht="25.05" customHeight="1">
      <c r="B25" s="15"/>
      <c r="C25" s="16"/>
      <c r="D25" s="90"/>
      <c r="E25" s="7"/>
      <c r="F25" s="16"/>
      <c r="G25" s="10"/>
      <c r="H25" s="10"/>
      <c r="I25" s="11"/>
      <c r="J25" s="12"/>
      <c r="K25" s="12"/>
      <c r="L25" s="13"/>
      <c r="M25" s="12"/>
      <c r="N25" s="12"/>
      <c r="O25" s="12"/>
      <c r="P25" s="12"/>
      <c r="Q25" s="12"/>
      <c r="R25" s="14"/>
      <c r="S25" s="14"/>
      <c r="T25" s="12"/>
      <c r="U25" s="12"/>
      <c r="V25" s="14"/>
      <c r="W25" s="14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</row>
    <row r="26" spans="1:40" s="34" customFormat="1" ht="25.05" customHeight="1">
      <c r="A26" s="1"/>
      <c r="B26" s="27"/>
      <c r="C26" s="28"/>
      <c r="D26" s="29"/>
      <c r="E26" s="30"/>
      <c r="F26" s="28"/>
      <c r="G26" s="31"/>
      <c r="H26" s="31"/>
      <c r="I26" s="32"/>
      <c r="J26" s="18"/>
      <c r="K26" s="18">
        <f t="shared" ref="K26:AK26" si="4">SUM(K24:K25)</f>
        <v>0</v>
      </c>
      <c r="L26" s="18">
        <f t="shared" si="4"/>
        <v>0</v>
      </c>
      <c r="M26" s="18">
        <f t="shared" si="4"/>
        <v>0</v>
      </c>
      <c r="N26" s="18">
        <f t="shared" si="4"/>
        <v>0</v>
      </c>
      <c r="O26" s="18">
        <f t="shared" si="4"/>
        <v>0</v>
      </c>
      <c r="P26" s="18">
        <f t="shared" si="4"/>
        <v>0</v>
      </c>
      <c r="Q26" s="18">
        <f t="shared" si="4"/>
        <v>0</v>
      </c>
      <c r="R26" s="18">
        <f t="shared" si="4"/>
        <v>0</v>
      </c>
      <c r="S26" s="18">
        <f t="shared" si="4"/>
        <v>0</v>
      </c>
      <c r="T26" s="18">
        <f t="shared" si="4"/>
        <v>0</v>
      </c>
      <c r="U26" s="18">
        <f t="shared" si="4"/>
        <v>0</v>
      </c>
      <c r="V26" s="18">
        <f t="shared" si="4"/>
        <v>0</v>
      </c>
      <c r="W26" s="18">
        <f t="shared" si="4"/>
        <v>0</v>
      </c>
      <c r="X26" s="18">
        <f t="shared" si="4"/>
        <v>0</v>
      </c>
      <c r="Y26" s="18">
        <f t="shared" si="4"/>
        <v>0</v>
      </c>
      <c r="Z26" s="18">
        <f t="shared" si="4"/>
        <v>0</v>
      </c>
      <c r="AA26" s="18">
        <f t="shared" si="4"/>
        <v>0</v>
      </c>
      <c r="AB26" s="18">
        <f>SUM(AB24:AB25)</f>
        <v>0</v>
      </c>
      <c r="AC26" s="18">
        <f t="shared" si="4"/>
        <v>0</v>
      </c>
      <c r="AD26" s="18">
        <f t="shared" si="4"/>
        <v>0</v>
      </c>
      <c r="AE26" s="18">
        <f t="shared" si="4"/>
        <v>0</v>
      </c>
      <c r="AF26" s="18"/>
      <c r="AG26" s="18">
        <f t="shared" si="4"/>
        <v>0</v>
      </c>
      <c r="AH26" s="18">
        <f t="shared" si="4"/>
        <v>0</v>
      </c>
      <c r="AI26" s="18">
        <f t="shared" si="4"/>
        <v>0</v>
      </c>
      <c r="AJ26" s="18">
        <f t="shared" si="4"/>
        <v>0</v>
      </c>
      <c r="AK26" s="18">
        <f t="shared" si="4"/>
        <v>0</v>
      </c>
      <c r="AL26" s="18">
        <f>SUM(AL24:AL25)</f>
        <v>0</v>
      </c>
      <c r="AM26" s="18">
        <f>SUM(AM24:AM25)</f>
        <v>0</v>
      </c>
      <c r="AN26" s="18">
        <f>SUM(AN24:AN25)</f>
        <v>0</v>
      </c>
    </row>
    <row r="27" spans="1:40" ht="25.05" customHeight="1">
      <c r="B27" s="5">
        <v>46107</v>
      </c>
      <c r="C27" s="35" t="s">
        <v>76</v>
      </c>
      <c r="D27" s="80" t="s">
        <v>174</v>
      </c>
      <c r="E27" s="8" t="s">
        <v>43</v>
      </c>
      <c r="F27" s="9" t="s">
        <v>44</v>
      </c>
      <c r="G27" s="10">
        <v>0.79166666666666663</v>
      </c>
      <c r="H27" s="10">
        <v>0.83333333333333337</v>
      </c>
      <c r="I27" s="11">
        <f t="shared" ref="I27:I64" si="5">H27-G27</f>
        <v>4.1666666666666741E-2</v>
      </c>
      <c r="J27" s="12">
        <v>6</v>
      </c>
      <c r="K27" s="81" t="s">
        <v>44</v>
      </c>
      <c r="L27" s="82" t="s">
        <v>44</v>
      </c>
      <c r="M27" s="12"/>
      <c r="N27" s="12"/>
      <c r="O27" s="12"/>
      <c r="P27" s="12"/>
      <c r="Q27" s="12"/>
      <c r="R27" s="14"/>
      <c r="S27" s="14"/>
      <c r="T27" s="12"/>
      <c r="U27" s="12"/>
      <c r="V27" s="14"/>
      <c r="W27" s="14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6"/>
    </row>
    <row r="28" spans="1:40" ht="25.05" customHeight="1">
      <c r="B28" s="15"/>
      <c r="C28" s="35"/>
      <c r="D28" s="91" t="s">
        <v>201</v>
      </c>
      <c r="E28" s="19" t="s">
        <v>202</v>
      </c>
      <c r="F28" s="9" t="s">
        <v>44</v>
      </c>
      <c r="G28" s="10">
        <v>0.10277777777777777</v>
      </c>
      <c r="H28" s="10">
        <v>0.13402777777777777</v>
      </c>
      <c r="I28" s="11">
        <f t="shared" si="5"/>
        <v>3.125E-2</v>
      </c>
      <c r="J28" s="12">
        <v>5</v>
      </c>
      <c r="K28" s="12">
        <v>84.8</v>
      </c>
      <c r="L28" s="13">
        <f t="shared" ref="L28:L65" si="6">IFERROR(((K28/(J28*I28)/24)),"0")</f>
        <v>22.613333333333333</v>
      </c>
      <c r="M28" s="12"/>
      <c r="N28" s="12"/>
      <c r="O28" s="12"/>
      <c r="P28" s="12"/>
      <c r="Q28" s="12"/>
      <c r="R28" s="14"/>
      <c r="S28" s="14"/>
      <c r="T28" s="12"/>
      <c r="U28" s="12"/>
      <c r="V28" s="14">
        <v>2</v>
      </c>
      <c r="W28" s="14"/>
      <c r="X28" s="12">
        <v>45</v>
      </c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6"/>
    </row>
    <row r="29" spans="1:40" ht="25.05" customHeight="1">
      <c r="B29" s="15"/>
      <c r="C29" s="35"/>
      <c r="D29" s="23"/>
      <c r="E29" s="19" t="s">
        <v>203</v>
      </c>
      <c r="F29" s="9" t="s">
        <v>44</v>
      </c>
      <c r="G29" s="10">
        <v>0.11388888888888889</v>
      </c>
      <c r="H29" s="10">
        <v>0.1451388888888889</v>
      </c>
      <c r="I29" s="11">
        <f t="shared" si="5"/>
        <v>3.1250000000000014E-2</v>
      </c>
      <c r="J29" s="12">
        <v>5</v>
      </c>
      <c r="K29" s="12">
        <v>84.8</v>
      </c>
      <c r="L29" s="13">
        <f t="shared" si="6"/>
        <v>22.613333333333326</v>
      </c>
      <c r="M29" s="12"/>
      <c r="N29" s="12"/>
      <c r="O29" s="12"/>
      <c r="P29" s="12"/>
      <c r="Q29" s="12"/>
      <c r="R29" s="14"/>
      <c r="S29" s="14"/>
      <c r="T29" s="12"/>
      <c r="U29" s="12"/>
      <c r="V29" s="14"/>
      <c r="W29" s="14">
        <v>2</v>
      </c>
      <c r="X29" s="12"/>
      <c r="Y29" s="12">
        <v>45</v>
      </c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6"/>
    </row>
    <row r="30" spans="1:40" ht="25.05" customHeight="1">
      <c r="B30" s="15"/>
      <c r="C30" s="35"/>
      <c r="D30" s="23"/>
      <c r="E30" s="19" t="s">
        <v>204</v>
      </c>
      <c r="F30" s="9" t="s">
        <v>44</v>
      </c>
      <c r="G30" s="10">
        <v>0.12291666666666666</v>
      </c>
      <c r="H30" s="10">
        <v>0.15416666666666667</v>
      </c>
      <c r="I30" s="11">
        <f t="shared" si="5"/>
        <v>3.1250000000000014E-2</v>
      </c>
      <c r="J30" s="12">
        <v>5</v>
      </c>
      <c r="K30" s="12">
        <v>8.48</v>
      </c>
      <c r="L30" s="13">
        <f t="shared" si="6"/>
        <v>2.2613333333333325</v>
      </c>
      <c r="M30" s="12"/>
      <c r="N30" s="12"/>
      <c r="O30" s="12"/>
      <c r="P30" s="12"/>
      <c r="Q30" s="12"/>
      <c r="R30" s="14"/>
      <c r="S30" s="14"/>
      <c r="T30" s="12"/>
      <c r="U30" s="12"/>
      <c r="V30" s="14">
        <v>2</v>
      </c>
      <c r="W30" s="14"/>
      <c r="X30" s="12"/>
      <c r="Y30" s="12"/>
      <c r="Z30" s="12">
        <v>45</v>
      </c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6"/>
    </row>
    <row r="31" spans="1:40" ht="25.05" customHeight="1">
      <c r="B31" s="15"/>
      <c r="C31" s="35"/>
      <c r="D31" s="23"/>
      <c r="E31" s="19" t="s">
        <v>205</v>
      </c>
      <c r="F31" s="9" t="s">
        <v>44</v>
      </c>
      <c r="G31" s="10">
        <v>0.12291666666666666</v>
      </c>
      <c r="H31" s="10">
        <v>0.15416666666666667</v>
      </c>
      <c r="I31" s="11">
        <f t="shared" si="5"/>
        <v>3.1250000000000014E-2</v>
      </c>
      <c r="J31" s="12">
        <v>5</v>
      </c>
      <c r="K31" s="12">
        <v>76.319999999999993</v>
      </c>
      <c r="L31" s="13">
        <f t="shared" si="6"/>
        <v>20.351999999999993</v>
      </c>
      <c r="M31" s="12"/>
      <c r="N31" s="12"/>
      <c r="O31" s="12"/>
      <c r="P31" s="12"/>
      <c r="Q31" s="12"/>
      <c r="R31" s="14"/>
      <c r="S31" s="14"/>
      <c r="T31" s="12"/>
      <c r="U31" s="12"/>
      <c r="V31" s="14">
        <v>2</v>
      </c>
      <c r="W31" s="14"/>
      <c r="X31" s="12"/>
      <c r="Y31" s="12"/>
      <c r="Z31" s="12">
        <v>45</v>
      </c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6"/>
    </row>
    <row r="32" spans="1:40" ht="25.05" customHeight="1">
      <c r="B32" s="15"/>
      <c r="C32" s="35"/>
      <c r="D32" s="23"/>
      <c r="E32" s="19" t="s">
        <v>206</v>
      </c>
      <c r="F32" s="9" t="s">
        <v>44</v>
      </c>
      <c r="G32" s="10">
        <v>0.13263888888888889</v>
      </c>
      <c r="H32" s="10">
        <v>0.16388888888888889</v>
      </c>
      <c r="I32" s="11">
        <f t="shared" si="5"/>
        <v>3.125E-2</v>
      </c>
      <c r="J32" s="12">
        <v>5</v>
      </c>
      <c r="K32" s="12">
        <v>84.8</v>
      </c>
      <c r="L32" s="13">
        <f t="shared" si="6"/>
        <v>22.613333333333333</v>
      </c>
      <c r="M32" s="12"/>
      <c r="N32" s="12"/>
      <c r="O32" s="12"/>
      <c r="P32" s="12"/>
      <c r="Q32" s="12"/>
      <c r="R32" s="14"/>
      <c r="S32" s="14"/>
      <c r="T32" s="12"/>
      <c r="U32" s="12"/>
      <c r="V32" s="14"/>
      <c r="W32" s="14">
        <v>2</v>
      </c>
      <c r="X32" s="12"/>
      <c r="Y32" s="12"/>
      <c r="Z32" s="12"/>
      <c r="AA32" s="12">
        <v>45</v>
      </c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6"/>
    </row>
    <row r="33" spans="2:40" ht="25.05" customHeight="1">
      <c r="B33" s="15"/>
      <c r="C33" s="35"/>
      <c r="D33" s="23"/>
      <c r="E33" s="19" t="s">
        <v>207</v>
      </c>
      <c r="F33" s="9" t="s">
        <v>44</v>
      </c>
      <c r="G33" s="10">
        <v>0.13819444444444445</v>
      </c>
      <c r="H33" s="10">
        <v>0.16944444444444445</v>
      </c>
      <c r="I33" s="11">
        <f t="shared" si="5"/>
        <v>3.125E-2</v>
      </c>
      <c r="J33" s="12">
        <v>5</v>
      </c>
      <c r="K33" s="12">
        <v>16.96</v>
      </c>
      <c r="L33" s="13">
        <f t="shared" si="6"/>
        <v>4.5226666666666668</v>
      </c>
      <c r="M33" s="12"/>
      <c r="N33" s="12"/>
      <c r="O33" s="12"/>
      <c r="P33" s="12"/>
      <c r="Q33" s="12"/>
      <c r="R33" s="14"/>
      <c r="S33" s="14"/>
      <c r="T33" s="12"/>
      <c r="U33" s="12"/>
      <c r="V33" s="14">
        <v>2</v>
      </c>
      <c r="W33" s="14"/>
      <c r="X33" s="12"/>
      <c r="Y33" s="12"/>
      <c r="Z33" s="12"/>
      <c r="AA33" s="12"/>
      <c r="AB33" s="12">
        <v>45</v>
      </c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6"/>
    </row>
    <row r="34" spans="2:40" ht="25.05" customHeight="1">
      <c r="B34" s="15"/>
      <c r="C34" s="35"/>
      <c r="D34" s="23"/>
      <c r="E34" s="19"/>
      <c r="F34" s="9" t="s">
        <v>44</v>
      </c>
      <c r="G34" s="10"/>
      <c r="H34" s="10"/>
      <c r="I34" s="11">
        <f t="shared" si="5"/>
        <v>0</v>
      </c>
      <c r="J34" s="12"/>
      <c r="K34" s="12"/>
      <c r="L34" s="13" t="str">
        <f t="shared" si="6"/>
        <v>0</v>
      </c>
      <c r="M34" s="12"/>
      <c r="N34" s="12"/>
      <c r="O34" s="12"/>
      <c r="P34" s="12"/>
      <c r="Q34" s="12"/>
      <c r="R34" s="14"/>
      <c r="S34" s="14"/>
      <c r="T34" s="12"/>
      <c r="U34" s="12"/>
      <c r="V34" s="14"/>
      <c r="W34" s="14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6"/>
    </row>
    <row r="35" spans="2:40" ht="25.05" customHeight="1">
      <c r="B35" s="15"/>
      <c r="C35" s="35"/>
      <c r="D35" s="23" t="s">
        <v>77</v>
      </c>
      <c r="E35" s="19" t="s">
        <v>208</v>
      </c>
      <c r="F35" s="9" t="s">
        <v>44</v>
      </c>
      <c r="G35" s="10">
        <v>0.88194444444444442</v>
      </c>
      <c r="H35" s="10">
        <v>0.88541666666666663</v>
      </c>
      <c r="I35" s="11">
        <f t="shared" si="5"/>
        <v>3.4722222222222099E-3</v>
      </c>
      <c r="J35" s="12">
        <v>1</v>
      </c>
      <c r="K35" s="12">
        <v>31.87</v>
      </c>
      <c r="L35" s="13">
        <f t="shared" si="6"/>
        <v>382.44000000000136</v>
      </c>
      <c r="M35" s="12"/>
      <c r="N35" s="12"/>
      <c r="O35" s="12"/>
      <c r="P35" s="12"/>
      <c r="Q35" s="12"/>
      <c r="R35" s="14"/>
      <c r="S35" s="14"/>
      <c r="T35" s="12"/>
      <c r="U35" s="12"/>
      <c r="V35" s="14">
        <v>5</v>
      </c>
      <c r="W35" s="14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6"/>
    </row>
    <row r="36" spans="2:40" ht="25.05" customHeight="1">
      <c r="B36" s="15"/>
      <c r="C36" s="35"/>
      <c r="D36" s="23"/>
      <c r="E36" s="19" t="s">
        <v>209</v>
      </c>
      <c r="F36" s="9" t="s">
        <v>44</v>
      </c>
      <c r="G36" s="10">
        <v>0.9145833333333333</v>
      </c>
      <c r="H36" s="10">
        <v>0.94791666666666663</v>
      </c>
      <c r="I36" s="11">
        <f t="shared" si="5"/>
        <v>3.3333333333333326E-2</v>
      </c>
      <c r="J36" s="12">
        <v>1</v>
      </c>
      <c r="K36" s="12">
        <v>58.61</v>
      </c>
      <c r="L36" s="13">
        <f t="shared" si="6"/>
        <v>73.262500000000017</v>
      </c>
      <c r="M36" s="12"/>
      <c r="N36" s="12"/>
      <c r="O36" s="12"/>
      <c r="P36" s="12"/>
      <c r="Q36" s="12"/>
      <c r="R36" s="14"/>
      <c r="S36" s="14"/>
      <c r="T36" s="12"/>
      <c r="U36" s="12"/>
      <c r="V36" s="14"/>
      <c r="W36" s="14">
        <v>2</v>
      </c>
      <c r="X36" s="12"/>
      <c r="Y36" s="12"/>
      <c r="Z36" s="12"/>
      <c r="AA36" s="12"/>
      <c r="AB36" s="12"/>
      <c r="AC36" s="12">
        <v>48</v>
      </c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6"/>
    </row>
    <row r="37" spans="2:40" ht="25.05" customHeight="1">
      <c r="B37" s="15"/>
      <c r="C37" s="35"/>
      <c r="D37" s="23"/>
      <c r="E37" s="19" t="s">
        <v>210</v>
      </c>
      <c r="F37" s="9" t="s">
        <v>44</v>
      </c>
      <c r="G37" s="10">
        <v>0.89166666666666672</v>
      </c>
      <c r="H37" s="10">
        <v>0.90555555555555556</v>
      </c>
      <c r="I37" s="11">
        <f t="shared" si="5"/>
        <v>1.388888888888884E-2</v>
      </c>
      <c r="J37" s="12">
        <v>3</v>
      </c>
      <c r="K37" s="12">
        <v>155.16</v>
      </c>
      <c r="L37" s="13">
        <f t="shared" si="6"/>
        <v>155.16000000000057</v>
      </c>
      <c r="M37" s="12"/>
      <c r="N37" s="12"/>
      <c r="O37" s="12"/>
      <c r="P37" s="12"/>
      <c r="Q37" s="12"/>
      <c r="R37" s="14"/>
      <c r="S37" s="14"/>
      <c r="T37" s="12"/>
      <c r="U37" s="12"/>
      <c r="V37" s="14"/>
      <c r="W37" s="14">
        <v>2</v>
      </c>
      <c r="X37" s="12"/>
      <c r="Y37" s="12"/>
      <c r="Z37" s="12"/>
      <c r="AA37" s="12"/>
      <c r="AB37" s="12"/>
      <c r="AC37" s="12"/>
      <c r="AD37" s="12">
        <v>20</v>
      </c>
      <c r="AE37" s="12"/>
      <c r="AF37" s="12"/>
      <c r="AG37" s="12"/>
      <c r="AH37" s="12"/>
      <c r="AI37" s="12"/>
      <c r="AJ37" s="12"/>
      <c r="AK37" s="12"/>
      <c r="AL37" s="12"/>
      <c r="AM37" s="12"/>
      <c r="AN37" s="16"/>
    </row>
    <row r="38" spans="2:40" ht="25.05" customHeight="1">
      <c r="B38" s="15"/>
      <c r="C38" s="35"/>
      <c r="D38" s="23"/>
      <c r="E38" s="19" t="s">
        <v>211</v>
      </c>
      <c r="F38" s="9" t="s">
        <v>44</v>
      </c>
      <c r="G38" s="10">
        <v>0.92152777777777772</v>
      </c>
      <c r="H38" s="10">
        <v>0.93541666666666667</v>
      </c>
      <c r="I38" s="11">
        <f t="shared" si="5"/>
        <v>1.3888888888888951E-2</v>
      </c>
      <c r="J38" s="12">
        <v>3</v>
      </c>
      <c r="K38" s="12">
        <v>153.59</v>
      </c>
      <c r="L38" s="13">
        <f t="shared" si="6"/>
        <v>153.58999999999932</v>
      </c>
      <c r="M38" s="12"/>
      <c r="N38" s="12"/>
      <c r="O38" s="12"/>
      <c r="P38" s="12"/>
      <c r="Q38" s="12"/>
      <c r="R38" s="14"/>
      <c r="S38" s="14"/>
      <c r="T38" s="12"/>
      <c r="U38" s="12"/>
      <c r="V38" s="14"/>
      <c r="W38" s="14">
        <v>2</v>
      </c>
      <c r="X38" s="12"/>
      <c r="Y38" s="12"/>
      <c r="Z38" s="12"/>
      <c r="AA38" s="12"/>
      <c r="AB38" s="12"/>
      <c r="AC38" s="12"/>
      <c r="AD38" s="12">
        <v>20</v>
      </c>
      <c r="AE38" s="12"/>
      <c r="AF38" s="12"/>
      <c r="AG38" s="12"/>
      <c r="AH38" s="12"/>
      <c r="AI38" s="12"/>
      <c r="AJ38" s="12"/>
      <c r="AK38" s="12"/>
      <c r="AL38" s="12"/>
      <c r="AM38" s="12"/>
      <c r="AN38" s="16"/>
    </row>
    <row r="39" spans="2:40" ht="25.05" customHeight="1">
      <c r="B39" s="15"/>
      <c r="C39" s="35"/>
      <c r="D39" s="23"/>
      <c r="E39" s="19" t="s">
        <v>212</v>
      </c>
      <c r="F39" s="9" t="s">
        <v>44</v>
      </c>
      <c r="G39" s="10">
        <v>0.94305555555555554</v>
      </c>
      <c r="H39" s="10">
        <v>0.95277777777777772</v>
      </c>
      <c r="I39" s="11">
        <f t="shared" si="5"/>
        <v>9.7222222222221877E-3</v>
      </c>
      <c r="J39" s="12">
        <v>3</v>
      </c>
      <c r="K39" s="12">
        <v>128.03</v>
      </c>
      <c r="L39" s="13">
        <f t="shared" si="6"/>
        <v>182.90000000000066</v>
      </c>
      <c r="M39" s="12"/>
      <c r="N39" s="12"/>
      <c r="O39" s="12"/>
      <c r="P39" s="12"/>
      <c r="Q39" s="12"/>
      <c r="R39" s="14"/>
      <c r="S39" s="14"/>
      <c r="T39" s="12"/>
      <c r="U39" s="12"/>
      <c r="V39" s="14"/>
      <c r="W39" s="14"/>
      <c r="X39" s="12"/>
      <c r="Y39" s="12"/>
      <c r="Z39" s="12"/>
      <c r="AA39" s="12"/>
      <c r="AB39" s="12"/>
      <c r="AC39" s="12"/>
      <c r="AD39" s="12">
        <v>14</v>
      </c>
      <c r="AE39" s="12"/>
      <c r="AF39" s="12"/>
      <c r="AG39" s="12"/>
      <c r="AH39" s="12"/>
      <c r="AI39" s="12"/>
      <c r="AJ39" s="12"/>
      <c r="AK39" s="12"/>
      <c r="AL39" s="12"/>
      <c r="AM39" s="12"/>
      <c r="AN39" s="16"/>
    </row>
    <row r="40" spans="2:40" ht="25.05" customHeight="1">
      <c r="B40" s="15"/>
      <c r="C40" s="35"/>
      <c r="D40" s="23"/>
      <c r="E40" s="19" t="s">
        <v>213</v>
      </c>
      <c r="F40" s="9" t="s">
        <v>44</v>
      </c>
      <c r="G40" s="10">
        <v>0.97916666666666663</v>
      </c>
      <c r="H40" s="10">
        <v>0.99305555555555558</v>
      </c>
      <c r="I40" s="11">
        <f t="shared" si="5"/>
        <v>1.3888888888888951E-2</v>
      </c>
      <c r="J40" s="12">
        <v>4</v>
      </c>
      <c r="K40" s="12">
        <v>180.2</v>
      </c>
      <c r="L40" s="13">
        <f t="shared" si="6"/>
        <v>135.14999999999938</v>
      </c>
      <c r="M40" s="12"/>
      <c r="N40" s="12"/>
      <c r="O40" s="12"/>
      <c r="P40" s="12"/>
      <c r="Q40" s="12"/>
      <c r="R40" s="14"/>
      <c r="S40" s="14"/>
      <c r="T40" s="12"/>
      <c r="U40" s="12"/>
      <c r="V40" s="14">
        <v>2</v>
      </c>
      <c r="W40" s="14"/>
      <c r="X40" s="12"/>
      <c r="Y40" s="12"/>
      <c r="Z40" s="12"/>
      <c r="AA40" s="12"/>
      <c r="AB40" s="12"/>
      <c r="AC40" s="12">
        <v>20</v>
      </c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6"/>
    </row>
    <row r="41" spans="2:40" ht="25.05" customHeight="1">
      <c r="B41" s="15"/>
      <c r="C41" s="35"/>
      <c r="D41" s="23"/>
      <c r="E41" s="19" t="s">
        <v>214</v>
      </c>
      <c r="F41" s="9" t="s">
        <v>44</v>
      </c>
      <c r="G41" s="10">
        <v>0.98055555555555551</v>
      </c>
      <c r="H41" s="10">
        <v>0.99444444444444446</v>
      </c>
      <c r="I41" s="11">
        <f t="shared" si="5"/>
        <v>1.3888888888888951E-2</v>
      </c>
      <c r="J41" s="12">
        <v>4</v>
      </c>
      <c r="K41" s="12">
        <v>202.81</v>
      </c>
      <c r="L41" s="13">
        <f t="shared" si="6"/>
        <v>152.10749999999933</v>
      </c>
      <c r="M41" s="12"/>
      <c r="N41" s="12"/>
      <c r="O41" s="12"/>
      <c r="P41" s="12"/>
      <c r="Q41" s="12"/>
      <c r="R41" s="14"/>
      <c r="S41" s="14"/>
      <c r="T41" s="12"/>
      <c r="U41" s="12"/>
      <c r="V41" s="14"/>
      <c r="W41" s="14">
        <v>2</v>
      </c>
      <c r="X41" s="12"/>
      <c r="Y41" s="12"/>
      <c r="Z41" s="12"/>
      <c r="AA41" s="12"/>
      <c r="AB41" s="12"/>
      <c r="AC41" s="12"/>
      <c r="AD41" s="12"/>
      <c r="AE41" s="12">
        <v>20</v>
      </c>
      <c r="AF41" s="12"/>
      <c r="AG41" s="12"/>
      <c r="AH41" s="12"/>
      <c r="AI41" s="12"/>
      <c r="AJ41" s="12"/>
      <c r="AK41" s="12"/>
      <c r="AL41" s="12"/>
      <c r="AM41" s="12"/>
      <c r="AN41" s="16"/>
    </row>
    <row r="42" spans="2:40" ht="25.05" customHeight="1">
      <c r="B42" s="15"/>
      <c r="C42" s="35"/>
      <c r="D42" s="23"/>
      <c r="E42" s="20" t="s">
        <v>215</v>
      </c>
      <c r="F42" s="9" t="s">
        <v>44</v>
      </c>
      <c r="G42" s="10">
        <v>0.125</v>
      </c>
      <c r="H42" s="10">
        <v>0.18055555555555555</v>
      </c>
      <c r="I42" s="11">
        <f t="shared" si="5"/>
        <v>5.5555555555555552E-2</v>
      </c>
      <c r="J42" s="12">
        <v>8</v>
      </c>
      <c r="K42" s="12">
        <v>254.44</v>
      </c>
      <c r="L42" s="13">
        <f t="shared" si="6"/>
        <v>23.853750000000002</v>
      </c>
      <c r="M42" s="12"/>
      <c r="N42" s="12"/>
      <c r="O42" s="12"/>
      <c r="P42" s="12"/>
      <c r="Q42" s="12"/>
      <c r="R42" s="14"/>
      <c r="S42" s="14"/>
      <c r="T42" s="12"/>
      <c r="U42" s="12"/>
      <c r="V42" s="14"/>
      <c r="W42" s="14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6"/>
    </row>
    <row r="43" spans="2:40" ht="25.05" customHeight="1">
      <c r="B43" s="15"/>
      <c r="C43" s="35"/>
      <c r="D43" s="23"/>
      <c r="E43" s="19"/>
      <c r="F43" s="9" t="s">
        <v>44</v>
      </c>
      <c r="G43" s="10"/>
      <c r="H43" s="10"/>
      <c r="I43" s="11">
        <f t="shared" si="5"/>
        <v>0</v>
      </c>
      <c r="J43" s="12"/>
      <c r="K43" s="12"/>
      <c r="L43" s="13" t="str">
        <f t="shared" si="6"/>
        <v>0</v>
      </c>
      <c r="M43" s="12"/>
      <c r="N43" s="12"/>
      <c r="O43" s="12"/>
      <c r="P43" s="12"/>
      <c r="Q43" s="12"/>
      <c r="R43" s="14"/>
      <c r="S43" s="14"/>
      <c r="T43" s="12"/>
      <c r="U43" s="12"/>
      <c r="V43" s="14"/>
      <c r="W43" s="14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6"/>
    </row>
    <row r="44" spans="2:40" ht="25.05" customHeight="1">
      <c r="B44" s="15"/>
      <c r="C44" s="35"/>
      <c r="D44" s="23" t="s">
        <v>120</v>
      </c>
      <c r="E44" s="19" t="s">
        <v>216</v>
      </c>
      <c r="F44" s="9" t="s">
        <v>44</v>
      </c>
      <c r="G44" s="10">
        <v>6.6666666666666666E-2</v>
      </c>
      <c r="H44" s="10">
        <v>8.3333333333333329E-2</v>
      </c>
      <c r="I44" s="11">
        <f t="shared" si="5"/>
        <v>1.6666666666666663E-2</v>
      </c>
      <c r="J44" s="12">
        <v>4</v>
      </c>
      <c r="K44" s="12">
        <v>23.06</v>
      </c>
      <c r="L44" s="13">
        <f t="shared" si="6"/>
        <v>14.412500000000001</v>
      </c>
      <c r="M44" s="12"/>
      <c r="N44" s="12"/>
      <c r="O44" s="12"/>
      <c r="P44" s="12"/>
      <c r="Q44" s="12"/>
      <c r="R44" s="14"/>
      <c r="S44" s="14"/>
      <c r="T44" s="12"/>
      <c r="U44" s="12"/>
      <c r="V44" s="14">
        <v>2</v>
      </c>
      <c r="W44" s="14"/>
      <c r="X44" s="12"/>
      <c r="Y44" s="12"/>
      <c r="Z44" s="12"/>
      <c r="AA44" s="12"/>
      <c r="AB44" s="12"/>
      <c r="AC44" s="12"/>
      <c r="AD44" s="12"/>
      <c r="AE44" s="12"/>
      <c r="AF44" s="12">
        <v>24</v>
      </c>
      <c r="AG44" s="12"/>
      <c r="AH44" s="12"/>
      <c r="AI44" s="12"/>
      <c r="AJ44" s="12"/>
      <c r="AK44" s="12"/>
      <c r="AL44" s="12"/>
      <c r="AM44" s="12"/>
      <c r="AN44" s="16"/>
    </row>
    <row r="45" spans="2:40" ht="25.05" customHeight="1">
      <c r="B45" s="15"/>
      <c r="C45" s="35"/>
      <c r="D45" s="23"/>
      <c r="E45" s="19" t="s">
        <v>217</v>
      </c>
      <c r="F45" s="9" t="s">
        <v>44</v>
      </c>
      <c r="G45" s="10">
        <v>6.805555555555555E-2</v>
      </c>
      <c r="H45" s="10">
        <v>9.0277777777777776E-2</v>
      </c>
      <c r="I45" s="11">
        <f t="shared" si="5"/>
        <v>2.2222222222222227E-2</v>
      </c>
      <c r="J45" s="12">
        <v>4</v>
      </c>
      <c r="K45" s="12">
        <v>90.18</v>
      </c>
      <c r="L45" s="13">
        <f t="shared" si="6"/>
        <v>42.271874999999994</v>
      </c>
      <c r="M45" s="12"/>
      <c r="N45" s="12"/>
      <c r="O45" s="12"/>
      <c r="P45" s="12"/>
      <c r="Q45" s="12"/>
      <c r="R45" s="14"/>
      <c r="S45" s="14"/>
      <c r="T45" s="12"/>
      <c r="U45" s="12"/>
      <c r="V45" s="14">
        <v>2</v>
      </c>
      <c r="W45" s="14"/>
      <c r="X45" s="12"/>
      <c r="Y45" s="12"/>
      <c r="Z45" s="12"/>
      <c r="AA45" s="12"/>
      <c r="AB45" s="12"/>
      <c r="AC45" s="12"/>
      <c r="AD45" s="12"/>
      <c r="AE45" s="12">
        <v>32</v>
      </c>
      <c r="AF45" s="12"/>
      <c r="AG45" s="12"/>
      <c r="AH45" s="12"/>
      <c r="AI45" s="12"/>
      <c r="AJ45" s="12"/>
      <c r="AK45" s="12"/>
      <c r="AL45" s="12"/>
      <c r="AM45" s="12"/>
      <c r="AN45" s="16"/>
    </row>
    <row r="46" spans="2:40" ht="25.05" customHeight="1">
      <c r="B46" s="15"/>
      <c r="C46" s="35"/>
      <c r="D46" s="23"/>
      <c r="E46" s="19" t="s">
        <v>218</v>
      </c>
      <c r="F46" s="9" t="s">
        <v>44</v>
      </c>
      <c r="G46" s="10">
        <v>9.0277777777777776E-2</v>
      </c>
      <c r="H46" s="10">
        <v>0.11527777777777778</v>
      </c>
      <c r="I46" s="11">
        <f t="shared" si="5"/>
        <v>2.5000000000000008E-2</v>
      </c>
      <c r="J46" s="12">
        <v>4</v>
      </c>
      <c r="K46" s="12">
        <v>80.55</v>
      </c>
      <c r="L46" s="13">
        <f t="shared" si="6"/>
        <v>33.562499999999986</v>
      </c>
      <c r="M46" s="12"/>
      <c r="N46" s="12"/>
      <c r="O46" s="12"/>
      <c r="P46" s="12"/>
      <c r="Q46" s="12"/>
      <c r="R46" s="14"/>
      <c r="S46" s="14"/>
      <c r="T46" s="12"/>
      <c r="U46" s="12"/>
      <c r="V46" s="14"/>
      <c r="W46" s="14">
        <v>2</v>
      </c>
      <c r="X46" s="12"/>
      <c r="Y46" s="12"/>
      <c r="Z46" s="12"/>
      <c r="AA46" s="12"/>
      <c r="AB46" s="12"/>
      <c r="AC46" s="12"/>
      <c r="AD46" s="12"/>
      <c r="AE46" s="12"/>
      <c r="AF46" s="12">
        <v>36</v>
      </c>
      <c r="AG46" s="12"/>
      <c r="AH46" s="12"/>
      <c r="AI46" s="12"/>
      <c r="AJ46" s="12"/>
      <c r="AK46" s="12"/>
      <c r="AL46" s="12"/>
      <c r="AM46" s="12"/>
      <c r="AN46" s="16"/>
    </row>
    <row r="47" spans="2:40" ht="25.05" customHeight="1">
      <c r="B47" s="15"/>
      <c r="C47" s="35"/>
      <c r="D47" s="23"/>
      <c r="E47" s="19" t="s">
        <v>219</v>
      </c>
      <c r="F47" s="9" t="s">
        <v>44</v>
      </c>
      <c r="G47" s="10">
        <v>0.88541666666666663</v>
      </c>
      <c r="H47" s="10">
        <v>0.92847222222222225</v>
      </c>
      <c r="I47" s="11">
        <f t="shared" si="5"/>
        <v>4.3055555555555625E-2</v>
      </c>
      <c r="J47" s="12">
        <v>4</v>
      </c>
      <c r="K47" s="12">
        <v>79.260000000000005</v>
      </c>
      <c r="L47" s="13">
        <f t="shared" si="6"/>
        <v>19.175806451612875</v>
      </c>
      <c r="M47" s="12"/>
      <c r="N47" s="12"/>
      <c r="O47" s="12"/>
      <c r="P47" s="12"/>
      <c r="Q47" s="12"/>
      <c r="R47" s="14"/>
      <c r="S47" s="14"/>
      <c r="T47" s="12"/>
      <c r="U47" s="12"/>
      <c r="V47" s="14"/>
      <c r="W47" s="14">
        <v>5</v>
      </c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>
        <v>15.5</v>
      </c>
      <c r="AJ47" s="12">
        <v>15.5</v>
      </c>
      <c r="AK47" s="12">
        <v>15.5</v>
      </c>
      <c r="AL47" s="12">
        <v>15.5</v>
      </c>
      <c r="AM47" s="12"/>
      <c r="AN47" s="16"/>
    </row>
    <row r="48" spans="2:40" ht="25.05" customHeight="1">
      <c r="B48" s="15"/>
      <c r="C48" s="35"/>
      <c r="D48" s="23"/>
      <c r="E48" s="19" t="s">
        <v>220</v>
      </c>
      <c r="F48" s="9" t="s">
        <v>44</v>
      </c>
      <c r="G48" s="10">
        <v>0.93125000000000002</v>
      </c>
      <c r="H48" s="10">
        <v>0.96736111111111112</v>
      </c>
      <c r="I48" s="11">
        <f t="shared" si="5"/>
        <v>3.6111111111111094E-2</v>
      </c>
      <c r="J48" s="12">
        <v>4</v>
      </c>
      <c r="K48" s="12">
        <v>78.44</v>
      </c>
      <c r="L48" s="13">
        <f t="shared" si="6"/>
        <v>22.626923076923088</v>
      </c>
      <c r="M48" s="12"/>
      <c r="N48" s="12"/>
      <c r="O48" s="12"/>
      <c r="P48" s="12"/>
      <c r="Q48" s="12"/>
      <c r="R48" s="14"/>
      <c r="S48" s="14"/>
      <c r="T48" s="12"/>
      <c r="U48" s="12"/>
      <c r="V48" s="14"/>
      <c r="W48" s="14">
        <v>5</v>
      </c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>
        <v>13</v>
      </c>
      <c r="AJ48" s="12">
        <v>13</v>
      </c>
      <c r="AK48" s="12">
        <v>13</v>
      </c>
      <c r="AL48" s="12">
        <v>13</v>
      </c>
      <c r="AM48" s="12"/>
      <c r="AN48" s="16"/>
    </row>
    <row r="49" spans="2:40" ht="25.05" customHeight="1">
      <c r="B49" s="15"/>
      <c r="C49" s="35"/>
      <c r="D49" s="23"/>
      <c r="E49" s="19"/>
      <c r="F49" s="9" t="s">
        <v>44</v>
      </c>
      <c r="G49" s="10"/>
      <c r="H49" s="10"/>
      <c r="I49" s="11">
        <f t="shared" si="5"/>
        <v>0</v>
      </c>
      <c r="J49" s="12"/>
      <c r="K49" s="12"/>
      <c r="L49" s="13" t="str">
        <f t="shared" si="6"/>
        <v>0</v>
      </c>
      <c r="M49" s="12"/>
      <c r="N49" s="12"/>
      <c r="O49" s="12"/>
      <c r="P49" s="12"/>
      <c r="Q49" s="12"/>
      <c r="R49" s="14"/>
      <c r="S49" s="14"/>
      <c r="T49" s="12"/>
      <c r="U49" s="12"/>
      <c r="V49" s="14"/>
      <c r="W49" s="14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6"/>
    </row>
    <row r="50" spans="2:40" ht="25.05" customHeight="1">
      <c r="B50" s="15"/>
      <c r="C50" s="35"/>
      <c r="D50" s="23" t="s">
        <v>182</v>
      </c>
      <c r="E50" s="92" t="s">
        <v>221</v>
      </c>
      <c r="F50" s="9" t="s">
        <v>44</v>
      </c>
      <c r="G50" s="10">
        <v>0.95486111111111116</v>
      </c>
      <c r="H50" s="10">
        <v>0.97222222222222221</v>
      </c>
      <c r="I50" s="11">
        <f t="shared" si="5"/>
        <v>1.7361111111111049E-2</v>
      </c>
      <c r="J50" s="12">
        <v>2</v>
      </c>
      <c r="K50" s="12">
        <v>12.11</v>
      </c>
      <c r="L50" s="13">
        <f t="shared" si="6"/>
        <v>14.532000000000052</v>
      </c>
      <c r="M50" s="12"/>
      <c r="N50" s="12"/>
      <c r="O50" s="12"/>
      <c r="P50" s="12"/>
      <c r="Q50" s="12"/>
      <c r="R50" s="14"/>
      <c r="S50" s="14"/>
      <c r="T50" s="12"/>
      <c r="U50" s="12"/>
      <c r="V50" s="14"/>
      <c r="W50" s="14"/>
      <c r="X50" s="12"/>
      <c r="Y50" s="12"/>
      <c r="Z50" s="12"/>
      <c r="AA50" s="12"/>
      <c r="AB50" s="12"/>
      <c r="AC50" s="12"/>
      <c r="AD50" s="12">
        <v>25</v>
      </c>
      <c r="AE50" s="12"/>
      <c r="AF50" s="12"/>
      <c r="AG50" s="12"/>
      <c r="AH50" s="12"/>
      <c r="AI50" s="12"/>
      <c r="AJ50" s="12"/>
      <c r="AK50" s="12"/>
      <c r="AL50" s="12"/>
      <c r="AM50" s="12"/>
      <c r="AN50" s="16"/>
    </row>
    <row r="51" spans="2:40" ht="25.05" customHeight="1">
      <c r="B51" s="15"/>
      <c r="C51" s="35"/>
      <c r="D51" s="23"/>
      <c r="E51" s="19" t="s">
        <v>222</v>
      </c>
      <c r="F51" s="9" t="s">
        <v>44</v>
      </c>
      <c r="G51" s="10">
        <v>0.9194444444444444</v>
      </c>
      <c r="H51" s="10">
        <v>0.93263888888888891</v>
      </c>
      <c r="I51" s="11">
        <f t="shared" si="5"/>
        <v>1.3194444444444509E-2</v>
      </c>
      <c r="J51" s="12">
        <v>3</v>
      </c>
      <c r="K51" s="12">
        <v>82.34</v>
      </c>
      <c r="L51" s="13">
        <f t="shared" si="6"/>
        <v>86.673684210525892</v>
      </c>
      <c r="M51" s="12"/>
      <c r="N51" s="12"/>
      <c r="O51" s="12"/>
      <c r="P51" s="12"/>
      <c r="Q51" s="12"/>
      <c r="R51" s="14"/>
      <c r="S51" s="14"/>
      <c r="T51" s="12"/>
      <c r="U51" s="12"/>
      <c r="V51" s="14">
        <v>2</v>
      </c>
      <c r="W51" s="14"/>
      <c r="X51" s="12"/>
      <c r="Y51" s="12"/>
      <c r="Z51" s="12"/>
      <c r="AA51" s="12"/>
      <c r="AB51" s="12"/>
      <c r="AC51" s="12"/>
      <c r="AD51" s="12"/>
      <c r="AE51" s="12"/>
      <c r="AF51" s="12">
        <v>19</v>
      </c>
      <c r="AG51" s="12"/>
      <c r="AH51" s="12"/>
      <c r="AI51" s="12"/>
      <c r="AJ51" s="12"/>
      <c r="AK51" s="12"/>
      <c r="AL51" s="12"/>
      <c r="AM51" s="12"/>
      <c r="AN51" s="16"/>
    </row>
    <row r="52" spans="2:40" ht="25.05" customHeight="1">
      <c r="B52" s="15"/>
      <c r="C52" s="35"/>
      <c r="D52" s="23"/>
      <c r="E52" s="19" t="s">
        <v>223</v>
      </c>
      <c r="F52" s="9" t="s">
        <v>44</v>
      </c>
      <c r="G52" s="10">
        <v>0.92083333333333328</v>
      </c>
      <c r="H52" s="10">
        <v>0.93472222222222223</v>
      </c>
      <c r="I52" s="11">
        <f t="shared" si="5"/>
        <v>1.3888888888888951E-2</v>
      </c>
      <c r="J52" s="12">
        <v>3</v>
      </c>
      <c r="K52" s="12">
        <v>82.34</v>
      </c>
      <c r="L52" s="13">
        <f t="shared" si="6"/>
        <v>82.339999999999634</v>
      </c>
      <c r="M52" s="12"/>
      <c r="N52" s="12"/>
      <c r="O52" s="12"/>
      <c r="P52" s="12"/>
      <c r="Q52" s="12"/>
      <c r="R52" s="14"/>
      <c r="S52" s="14"/>
      <c r="T52" s="12"/>
      <c r="U52" s="12"/>
      <c r="V52" s="14">
        <v>2</v>
      </c>
      <c r="W52" s="14"/>
      <c r="X52" s="12"/>
      <c r="Y52" s="12"/>
      <c r="Z52" s="12"/>
      <c r="AA52" s="12"/>
      <c r="AB52" s="12"/>
      <c r="AC52" s="12"/>
      <c r="AD52" s="12"/>
      <c r="AE52" s="12">
        <v>20</v>
      </c>
      <c r="AF52" s="12"/>
      <c r="AG52" s="12"/>
      <c r="AH52" s="12"/>
      <c r="AI52" s="12"/>
      <c r="AJ52" s="12"/>
      <c r="AK52" s="12"/>
      <c r="AL52" s="12"/>
      <c r="AM52" s="12"/>
      <c r="AN52" s="16"/>
    </row>
    <row r="53" spans="2:40" ht="25.05" customHeight="1">
      <c r="B53" s="15"/>
      <c r="C53" s="35"/>
      <c r="D53" s="17"/>
      <c r="E53" s="19" t="s">
        <v>224</v>
      </c>
      <c r="F53" s="9" t="s">
        <v>44</v>
      </c>
      <c r="G53" s="10">
        <v>0.93611111111111112</v>
      </c>
      <c r="H53" s="10">
        <v>0.95</v>
      </c>
      <c r="I53" s="11">
        <f t="shared" si="5"/>
        <v>1.388888888888884E-2</v>
      </c>
      <c r="J53" s="12">
        <v>3</v>
      </c>
      <c r="K53" s="12">
        <v>81.849999999999994</v>
      </c>
      <c r="L53" s="13">
        <f t="shared" si="6"/>
        <v>81.850000000000293</v>
      </c>
      <c r="M53" s="12"/>
      <c r="N53" s="12"/>
      <c r="O53" s="12"/>
      <c r="P53" s="12"/>
      <c r="Q53" s="12"/>
      <c r="R53" s="14"/>
      <c r="S53" s="14"/>
      <c r="T53" s="12"/>
      <c r="U53" s="12"/>
      <c r="V53" s="14">
        <v>2</v>
      </c>
      <c r="W53" s="14"/>
      <c r="X53" s="12"/>
      <c r="Y53" s="12"/>
      <c r="Z53" s="12"/>
      <c r="AA53" s="12"/>
      <c r="AB53" s="12"/>
      <c r="AC53" s="12"/>
      <c r="AD53" s="12"/>
      <c r="AE53" s="12"/>
      <c r="AF53" s="12">
        <v>20</v>
      </c>
      <c r="AG53" s="12"/>
      <c r="AH53" s="12"/>
      <c r="AI53" s="12"/>
      <c r="AJ53" s="12"/>
      <c r="AK53" s="12"/>
      <c r="AL53" s="12"/>
      <c r="AM53" s="12"/>
      <c r="AN53" s="16"/>
    </row>
    <row r="54" spans="2:40" ht="25.05" customHeight="1">
      <c r="B54" s="15"/>
      <c r="C54" s="35"/>
      <c r="D54" s="23"/>
      <c r="E54" s="19" t="s">
        <v>225</v>
      </c>
      <c r="F54" s="9" t="s">
        <v>44</v>
      </c>
      <c r="G54" s="10">
        <v>0.94097222222222221</v>
      </c>
      <c r="H54" s="10">
        <v>0.95416666666666672</v>
      </c>
      <c r="I54" s="11">
        <f t="shared" si="5"/>
        <v>1.3194444444444509E-2</v>
      </c>
      <c r="J54" s="12">
        <v>3</v>
      </c>
      <c r="K54" s="12">
        <v>81.849999999999994</v>
      </c>
      <c r="L54" s="13">
        <f t="shared" si="6"/>
        <v>86.157894736841683</v>
      </c>
      <c r="M54" s="12"/>
      <c r="N54" s="12"/>
      <c r="O54" s="12"/>
      <c r="P54" s="12"/>
      <c r="Q54" s="12"/>
      <c r="R54" s="14"/>
      <c r="S54" s="14"/>
      <c r="T54" s="12"/>
      <c r="U54" s="12"/>
      <c r="V54" s="14">
        <v>2</v>
      </c>
      <c r="W54" s="14"/>
      <c r="X54" s="12"/>
      <c r="Y54" s="12"/>
      <c r="Z54" s="12"/>
      <c r="AA54" s="12"/>
      <c r="AB54" s="12"/>
      <c r="AC54" s="12"/>
      <c r="AD54" s="12"/>
      <c r="AE54" s="12">
        <v>19</v>
      </c>
      <c r="AF54" s="12"/>
      <c r="AG54" s="12"/>
      <c r="AH54" s="12"/>
      <c r="AI54" s="12"/>
      <c r="AJ54" s="12"/>
      <c r="AK54" s="12"/>
      <c r="AL54" s="12"/>
      <c r="AM54" s="12"/>
      <c r="AN54" s="16"/>
    </row>
    <row r="55" spans="2:40" ht="25.05" customHeight="1">
      <c r="B55" s="15"/>
      <c r="C55" s="35"/>
      <c r="D55" s="23"/>
      <c r="E55" s="19" t="s">
        <v>226</v>
      </c>
      <c r="F55" s="9" t="s">
        <v>44</v>
      </c>
      <c r="G55" s="10">
        <v>0.9555555555555556</v>
      </c>
      <c r="H55" s="10">
        <v>0.96875</v>
      </c>
      <c r="I55" s="11">
        <f t="shared" si="5"/>
        <v>1.3194444444444398E-2</v>
      </c>
      <c r="J55" s="12">
        <v>3</v>
      </c>
      <c r="K55" s="12">
        <v>82.19</v>
      </c>
      <c r="L55" s="13">
        <f t="shared" si="6"/>
        <v>86.515789473684507</v>
      </c>
      <c r="M55" s="12"/>
      <c r="N55" s="12"/>
      <c r="O55" s="12"/>
      <c r="P55" s="12"/>
      <c r="Q55" s="12"/>
      <c r="R55" s="14"/>
      <c r="S55" s="14"/>
      <c r="T55" s="12"/>
      <c r="U55" s="12"/>
      <c r="V55" s="14">
        <v>2</v>
      </c>
      <c r="W55" s="14"/>
      <c r="X55" s="12"/>
      <c r="Y55" s="12"/>
      <c r="Z55" s="12"/>
      <c r="AA55" s="12"/>
      <c r="AB55" s="12"/>
      <c r="AC55" s="12"/>
      <c r="AD55" s="12"/>
      <c r="AE55" s="12"/>
      <c r="AF55" s="12">
        <v>19</v>
      </c>
      <c r="AG55" s="12"/>
      <c r="AH55" s="12"/>
      <c r="AI55" s="12"/>
      <c r="AJ55" s="12"/>
      <c r="AK55" s="12"/>
      <c r="AL55" s="12"/>
      <c r="AM55" s="12"/>
      <c r="AN55" s="16"/>
    </row>
    <row r="56" spans="2:40" ht="25.05" customHeight="1">
      <c r="B56" s="15"/>
      <c r="C56" s="35"/>
      <c r="D56" s="23"/>
      <c r="E56" s="19" t="s">
        <v>227</v>
      </c>
      <c r="F56" s="9" t="s">
        <v>44</v>
      </c>
      <c r="G56" s="10">
        <v>0.88611111111111107</v>
      </c>
      <c r="H56" s="10">
        <v>0.90277777777777779</v>
      </c>
      <c r="I56" s="11">
        <f t="shared" si="5"/>
        <v>1.6666666666666718E-2</v>
      </c>
      <c r="J56" s="12">
        <v>3</v>
      </c>
      <c r="K56" s="12">
        <v>141.32</v>
      </c>
      <c r="L56" s="13">
        <f t="shared" si="6"/>
        <v>117.7666666666663</v>
      </c>
      <c r="M56" s="12"/>
      <c r="N56" s="12"/>
      <c r="O56" s="12"/>
      <c r="P56" s="12"/>
      <c r="Q56" s="12"/>
      <c r="R56" s="14"/>
      <c r="S56" s="14"/>
      <c r="T56" s="12"/>
      <c r="U56" s="12"/>
      <c r="V56" s="14"/>
      <c r="W56" s="14">
        <v>2</v>
      </c>
      <c r="X56" s="12"/>
      <c r="Y56" s="12"/>
      <c r="Z56" s="12"/>
      <c r="AA56" s="12"/>
      <c r="AB56" s="12"/>
      <c r="AC56" s="12"/>
      <c r="AD56" s="12"/>
      <c r="AE56" s="12"/>
      <c r="AF56" s="12">
        <v>24</v>
      </c>
      <c r="AG56" s="12"/>
      <c r="AH56" s="12"/>
      <c r="AI56" s="12"/>
      <c r="AJ56" s="12"/>
      <c r="AK56" s="12"/>
      <c r="AL56" s="12"/>
      <c r="AM56" s="12"/>
      <c r="AN56" s="16"/>
    </row>
    <row r="57" spans="2:40" ht="25.05" customHeight="1">
      <c r="B57" s="15"/>
      <c r="C57" s="35"/>
      <c r="D57" s="23"/>
      <c r="E57" s="19" t="s">
        <v>228</v>
      </c>
      <c r="F57" s="9" t="s">
        <v>44</v>
      </c>
      <c r="G57" s="10">
        <v>0.88611111111111107</v>
      </c>
      <c r="H57" s="10">
        <v>0.90277777777777779</v>
      </c>
      <c r="I57" s="11">
        <f t="shared" si="5"/>
        <v>1.6666666666666718E-2</v>
      </c>
      <c r="J57" s="12">
        <v>3</v>
      </c>
      <c r="K57" s="12">
        <v>143</v>
      </c>
      <c r="L57" s="13">
        <f t="shared" si="6"/>
        <v>119.16666666666629</v>
      </c>
      <c r="M57" s="12"/>
      <c r="N57" s="12"/>
      <c r="O57" s="12"/>
      <c r="P57" s="12"/>
      <c r="Q57" s="12"/>
      <c r="R57" s="14"/>
      <c r="S57" s="14"/>
      <c r="T57" s="12"/>
      <c r="U57" s="12"/>
      <c r="V57" s="14"/>
      <c r="W57" s="14">
        <v>2</v>
      </c>
      <c r="X57" s="12"/>
      <c r="Y57" s="12"/>
      <c r="Z57" s="12"/>
      <c r="AA57" s="12"/>
      <c r="AB57" s="12"/>
      <c r="AC57" s="12"/>
      <c r="AD57" s="12"/>
      <c r="AE57" s="12">
        <v>24</v>
      </c>
      <c r="AF57" s="12"/>
      <c r="AG57" s="12"/>
      <c r="AH57" s="12"/>
      <c r="AI57" s="12"/>
      <c r="AJ57" s="12"/>
      <c r="AK57" s="12"/>
      <c r="AL57" s="12"/>
      <c r="AM57" s="12"/>
      <c r="AN57" s="16"/>
    </row>
    <row r="58" spans="2:40" ht="25.05" customHeight="1">
      <c r="B58" s="15"/>
      <c r="C58" s="35"/>
      <c r="D58" s="23"/>
      <c r="E58" s="19" t="s">
        <v>229</v>
      </c>
      <c r="F58" s="9" t="s">
        <v>44</v>
      </c>
      <c r="G58" s="10">
        <v>0.91388888888888886</v>
      </c>
      <c r="H58" s="10">
        <v>0.92708333333333337</v>
      </c>
      <c r="I58" s="11">
        <f t="shared" si="5"/>
        <v>1.3194444444444509E-2</v>
      </c>
      <c r="J58" s="12">
        <v>3</v>
      </c>
      <c r="K58" s="12">
        <v>71.5</v>
      </c>
      <c r="L58" s="13">
        <f t="shared" si="6"/>
        <v>75.26315789473648</v>
      </c>
      <c r="M58" s="12"/>
      <c r="N58" s="12"/>
      <c r="O58" s="12"/>
      <c r="P58" s="12"/>
      <c r="Q58" s="12"/>
      <c r="R58" s="14"/>
      <c r="S58" s="14"/>
      <c r="T58" s="12"/>
      <c r="U58" s="12"/>
      <c r="V58" s="14"/>
      <c r="W58" s="14">
        <v>2</v>
      </c>
      <c r="X58" s="12"/>
      <c r="Y58" s="12"/>
      <c r="Z58" s="12"/>
      <c r="AA58" s="12"/>
      <c r="AB58" s="12"/>
      <c r="AC58" s="12"/>
      <c r="AD58" s="12"/>
      <c r="AE58" s="12">
        <v>19</v>
      </c>
      <c r="AF58" s="12"/>
      <c r="AG58" s="12"/>
      <c r="AH58" s="12"/>
      <c r="AI58" s="12"/>
      <c r="AJ58" s="12"/>
      <c r="AK58" s="12"/>
      <c r="AL58" s="12"/>
      <c r="AM58" s="12"/>
      <c r="AN58" s="16"/>
    </row>
    <row r="59" spans="2:40" ht="25.05" customHeight="1">
      <c r="B59" s="15"/>
      <c r="C59" s="35"/>
      <c r="D59" s="23"/>
      <c r="E59" s="19" t="s">
        <v>230</v>
      </c>
      <c r="F59" s="9" t="s">
        <v>44</v>
      </c>
      <c r="G59" s="10">
        <v>0.88055555555555554</v>
      </c>
      <c r="H59" s="10">
        <v>0.89722222222222225</v>
      </c>
      <c r="I59" s="11">
        <f t="shared" si="5"/>
        <v>1.6666666666666718E-2</v>
      </c>
      <c r="J59" s="12">
        <v>3</v>
      </c>
      <c r="K59" s="12">
        <v>71.489999999999995</v>
      </c>
      <c r="L59" s="13">
        <f t="shared" si="6"/>
        <v>59.574999999999811</v>
      </c>
      <c r="M59" s="12"/>
      <c r="N59" s="12"/>
      <c r="O59" s="12"/>
      <c r="P59" s="12"/>
      <c r="Q59" s="12"/>
      <c r="R59" s="14"/>
      <c r="S59" s="14"/>
      <c r="T59" s="12"/>
      <c r="U59" s="12"/>
      <c r="V59" s="14"/>
      <c r="W59" s="14"/>
      <c r="X59" s="12"/>
      <c r="Y59" s="12">
        <v>12</v>
      </c>
      <c r="Z59" s="12">
        <v>12</v>
      </c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6"/>
    </row>
    <row r="60" spans="2:40" ht="25.05" customHeight="1">
      <c r="B60" s="15"/>
      <c r="C60" s="35"/>
      <c r="D60" s="23"/>
      <c r="E60" s="19" t="s">
        <v>231</v>
      </c>
      <c r="F60" s="9" t="s">
        <v>44</v>
      </c>
      <c r="G60" s="10">
        <v>0.8979166666666667</v>
      </c>
      <c r="H60" s="10">
        <v>0.91319444444444442</v>
      </c>
      <c r="I60" s="11">
        <f t="shared" si="5"/>
        <v>1.5277777777777724E-2</v>
      </c>
      <c r="J60" s="12">
        <v>3</v>
      </c>
      <c r="K60" s="12">
        <v>71.489999999999995</v>
      </c>
      <c r="L60" s="13">
        <f t="shared" si="6"/>
        <v>64.990909090909312</v>
      </c>
      <c r="M60" s="12"/>
      <c r="N60" s="12"/>
      <c r="O60" s="12"/>
      <c r="P60" s="12"/>
      <c r="Q60" s="12"/>
      <c r="R60" s="14"/>
      <c r="S60" s="14"/>
      <c r="T60" s="12"/>
      <c r="U60" s="12"/>
      <c r="V60" s="14"/>
      <c r="W60" s="14"/>
      <c r="X60" s="12"/>
      <c r="Y60" s="12">
        <v>11</v>
      </c>
      <c r="Z60" s="12">
        <v>11</v>
      </c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6"/>
    </row>
    <row r="61" spans="2:40" ht="25.05" customHeight="1">
      <c r="B61" s="15"/>
      <c r="C61" s="35"/>
      <c r="D61" s="23"/>
      <c r="E61" s="19" t="s">
        <v>232</v>
      </c>
      <c r="F61" s="9" t="s">
        <v>44</v>
      </c>
      <c r="G61" s="10">
        <v>0.91388888888888886</v>
      </c>
      <c r="H61" s="10">
        <v>0.92847222222222225</v>
      </c>
      <c r="I61" s="11">
        <f t="shared" si="5"/>
        <v>1.4583333333333393E-2</v>
      </c>
      <c r="J61" s="12">
        <v>3</v>
      </c>
      <c r="K61" s="12">
        <v>71.489999999999995</v>
      </c>
      <c r="L61" s="13">
        <f t="shared" si="6"/>
        <v>68.085714285714005</v>
      </c>
      <c r="M61" s="12"/>
      <c r="N61" s="12"/>
      <c r="O61" s="12"/>
      <c r="P61" s="12"/>
      <c r="Q61" s="12"/>
      <c r="R61" s="14"/>
      <c r="S61" s="14"/>
      <c r="T61" s="12"/>
      <c r="U61" s="12"/>
      <c r="V61" s="14"/>
      <c r="W61" s="14"/>
      <c r="X61" s="12"/>
      <c r="Y61" s="12">
        <v>10.5</v>
      </c>
      <c r="Z61" s="12">
        <v>10.5</v>
      </c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6"/>
    </row>
    <row r="62" spans="2:40" ht="25.05" customHeight="1">
      <c r="B62" s="15"/>
      <c r="C62" s="35"/>
      <c r="D62" s="23"/>
      <c r="E62" s="19" t="s">
        <v>233</v>
      </c>
      <c r="F62" s="9" t="s">
        <v>44</v>
      </c>
      <c r="G62" s="10">
        <v>0.9291666666666667</v>
      </c>
      <c r="H62" s="10">
        <v>0.94305555555555554</v>
      </c>
      <c r="I62" s="11">
        <f t="shared" si="5"/>
        <v>1.388888888888884E-2</v>
      </c>
      <c r="J62" s="12">
        <v>3</v>
      </c>
      <c r="K62" s="12">
        <v>71.489999999999995</v>
      </c>
      <c r="L62" s="13">
        <f t="shared" si="6"/>
        <v>71.490000000000251</v>
      </c>
      <c r="M62" s="12"/>
      <c r="N62" s="12"/>
      <c r="O62" s="12"/>
      <c r="P62" s="12"/>
      <c r="Q62" s="12"/>
      <c r="R62" s="14"/>
      <c r="S62" s="14"/>
      <c r="T62" s="12"/>
      <c r="U62" s="12"/>
      <c r="V62" s="14"/>
      <c r="W62" s="14"/>
      <c r="X62" s="12"/>
      <c r="Y62" s="12">
        <v>10</v>
      </c>
      <c r="Z62" s="12">
        <v>10</v>
      </c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6"/>
    </row>
    <row r="63" spans="2:40" ht="25.05" customHeight="1">
      <c r="B63" s="15"/>
      <c r="C63" s="35"/>
      <c r="D63" s="23"/>
      <c r="E63" s="19" t="s">
        <v>234</v>
      </c>
      <c r="F63" s="9" t="s">
        <v>44</v>
      </c>
      <c r="G63" s="10">
        <v>0.94513888888888886</v>
      </c>
      <c r="H63" s="10">
        <v>0.96250000000000002</v>
      </c>
      <c r="I63" s="11">
        <f t="shared" si="5"/>
        <v>1.736111111111116E-2</v>
      </c>
      <c r="J63" s="12">
        <v>3</v>
      </c>
      <c r="K63" s="12">
        <v>71.489999999999995</v>
      </c>
      <c r="L63" s="13">
        <f t="shared" si="6"/>
        <v>57.191999999999837</v>
      </c>
      <c r="M63" s="12"/>
      <c r="N63" s="12"/>
      <c r="O63" s="12"/>
      <c r="P63" s="12"/>
      <c r="Q63" s="12"/>
      <c r="R63" s="14"/>
      <c r="S63" s="14"/>
      <c r="T63" s="12"/>
      <c r="U63" s="12"/>
      <c r="V63" s="14"/>
      <c r="W63" s="14"/>
      <c r="X63" s="12"/>
      <c r="Y63" s="12">
        <v>12.5</v>
      </c>
      <c r="Z63" s="12">
        <v>12.5</v>
      </c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6"/>
    </row>
    <row r="64" spans="2:40" ht="25.05" customHeight="1">
      <c r="B64" s="15"/>
      <c r="C64" s="35"/>
      <c r="D64" s="93" t="s">
        <v>235</v>
      </c>
      <c r="E64" s="19"/>
      <c r="F64" s="9" t="s">
        <v>44</v>
      </c>
      <c r="G64" s="10"/>
      <c r="H64" s="10"/>
      <c r="I64" s="11">
        <f t="shared" si="5"/>
        <v>0</v>
      </c>
      <c r="J64" s="12"/>
      <c r="K64" s="12"/>
      <c r="L64" s="13" t="str">
        <f t="shared" si="6"/>
        <v>0</v>
      </c>
      <c r="M64" s="12"/>
      <c r="N64" s="12"/>
      <c r="O64" s="12"/>
      <c r="P64" s="12"/>
      <c r="Q64" s="12"/>
      <c r="R64" s="14"/>
      <c r="S64" s="14"/>
      <c r="T64" s="12"/>
      <c r="U64" s="12"/>
      <c r="V64" s="14"/>
      <c r="W64" s="14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6"/>
    </row>
    <row r="65" spans="1:40" ht="25.05" customHeight="1">
      <c r="B65" s="15"/>
      <c r="C65" s="35"/>
      <c r="D65" s="23"/>
      <c r="E65" s="19"/>
      <c r="F65" s="9" t="s">
        <v>44</v>
      </c>
      <c r="G65" s="10"/>
      <c r="H65" s="10"/>
      <c r="I65" s="11">
        <v>4</v>
      </c>
      <c r="J65" s="12"/>
      <c r="K65" s="12"/>
      <c r="L65" s="13" t="str">
        <f t="shared" si="6"/>
        <v>0</v>
      </c>
      <c r="M65" s="12"/>
      <c r="N65" s="12"/>
      <c r="O65" s="12"/>
      <c r="P65" s="12"/>
      <c r="Q65" s="12"/>
      <c r="R65" s="14"/>
      <c r="S65" s="14"/>
      <c r="T65" s="12"/>
      <c r="U65" s="12"/>
      <c r="V65" s="14"/>
      <c r="W65" s="14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6"/>
    </row>
    <row r="66" spans="1:40" s="34" customFormat="1" ht="25.5" customHeight="1" thickBot="1">
      <c r="A66" s="1"/>
      <c r="B66" s="59"/>
      <c r="C66" s="60"/>
      <c r="D66" s="61"/>
      <c r="E66" s="62"/>
      <c r="F66" s="62"/>
      <c r="G66" s="63"/>
      <c r="H66" s="63"/>
      <c r="I66" s="64"/>
      <c r="J66" s="65"/>
      <c r="K66" s="65">
        <f t="shared" ref="K66:AN66" si="7">SUM(K27:K65)</f>
        <v>3008.3099999999986</v>
      </c>
      <c r="L66" s="33">
        <f t="shared" si="7"/>
        <v>2557.0888375542809</v>
      </c>
      <c r="M66" s="65">
        <f t="shared" si="7"/>
        <v>0</v>
      </c>
      <c r="N66" s="65">
        <f t="shared" si="7"/>
        <v>0</v>
      </c>
      <c r="O66" s="65">
        <f t="shared" si="7"/>
        <v>0</v>
      </c>
      <c r="P66" s="65">
        <f t="shared" si="7"/>
        <v>0</v>
      </c>
      <c r="Q66" s="65">
        <f t="shared" si="7"/>
        <v>0</v>
      </c>
      <c r="R66" s="65">
        <f t="shared" si="7"/>
        <v>0</v>
      </c>
      <c r="S66" s="65">
        <f t="shared" si="7"/>
        <v>0</v>
      </c>
      <c r="T66" s="65">
        <f t="shared" si="7"/>
        <v>0</v>
      </c>
      <c r="U66" s="65">
        <f t="shared" si="7"/>
        <v>0</v>
      </c>
      <c r="V66" s="65">
        <f t="shared" si="7"/>
        <v>29</v>
      </c>
      <c r="W66" s="65">
        <f t="shared" si="7"/>
        <v>30</v>
      </c>
      <c r="X66" s="65">
        <f t="shared" si="7"/>
        <v>45</v>
      </c>
      <c r="Y66" s="65">
        <f t="shared" si="7"/>
        <v>101</v>
      </c>
      <c r="Z66" s="65">
        <f t="shared" si="7"/>
        <v>146</v>
      </c>
      <c r="AA66" s="65">
        <f t="shared" si="7"/>
        <v>45</v>
      </c>
      <c r="AB66" s="65">
        <f t="shared" si="7"/>
        <v>45</v>
      </c>
      <c r="AC66" s="65">
        <f t="shared" si="7"/>
        <v>68</v>
      </c>
      <c r="AD66" s="65">
        <f t="shared" si="7"/>
        <v>79</v>
      </c>
      <c r="AE66" s="65">
        <f t="shared" si="7"/>
        <v>134</v>
      </c>
      <c r="AF66" s="65">
        <f t="shared" si="7"/>
        <v>142</v>
      </c>
      <c r="AG66" s="65">
        <f t="shared" si="7"/>
        <v>0</v>
      </c>
      <c r="AH66" s="65">
        <f t="shared" si="7"/>
        <v>0</v>
      </c>
      <c r="AI66" s="65">
        <f t="shared" si="7"/>
        <v>28.5</v>
      </c>
      <c r="AJ66" s="65">
        <f t="shared" si="7"/>
        <v>28.5</v>
      </c>
      <c r="AK66" s="65">
        <f t="shared" si="7"/>
        <v>28.5</v>
      </c>
      <c r="AL66" s="65">
        <f t="shared" si="7"/>
        <v>28.5</v>
      </c>
      <c r="AM66" s="65">
        <f t="shared" si="7"/>
        <v>0</v>
      </c>
      <c r="AN66" s="65">
        <f t="shared" si="7"/>
        <v>0</v>
      </c>
    </row>
    <row r="67" spans="1:40" ht="38.1" customHeight="1" thickBot="1">
      <c r="B67" s="67" t="s">
        <v>161</v>
      </c>
      <c r="C67" s="68"/>
      <c r="D67" s="68"/>
      <c r="E67" s="68"/>
      <c r="F67" s="68"/>
      <c r="G67" s="68"/>
      <c r="H67" s="68"/>
      <c r="I67" s="68"/>
      <c r="J67" s="68"/>
      <c r="K67" s="69">
        <f>K23+K26+K66</f>
        <v>3975.8899999999985</v>
      </c>
      <c r="L67" s="69">
        <f>L23+L26+L66</f>
        <v>3232.922327801396</v>
      </c>
      <c r="M67" s="70">
        <f t="shared" ref="M67:AN67" si="8">(M23+M26+M66)/(480-15-30)</f>
        <v>0.27126436781609198</v>
      </c>
      <c r="N67" s="70">
        <f t="shared" si="8"/>
        <v>0</v>
      </c>
      <c r="O67" s="70">
        <f t="shared" si="8"/>
        <v>0.36781609195402298</v>
      </c>
      <c r="P67" s="70">
        <f t="shared" si="8"/>
        <v>0</v>
      </c>
      <c r="Q67" s="70">
        <f t="shared" si="8"/>
        <v>0</v>
      </c>
      <c r="R67" s="70">
        <f t="shared" si="8"/>
        <v>0</v>
      </c>
      <c r="S67" s="70">
        <f t="shared" si="8"/>
        <v>1.2459770114942528</v>
      </c>
      <c r="T67" s="70">
        <f t="shared" si="8"/>
        <v>0</v>
      </c>
      <c r="U67" s="70">
        <f t="shared" si="8"/>
        <v>0</v>
      </c>
      <c r="V67" s="70">
        <f t="shared" si="8"/>
        <v>6.6666666666666666E-2</v>
      </c>
      <c r="W67" s="70">
        <f t="shared" si="8"/>
        <v>6.8965517241379309E-2</v>
      </c>
      <c r="X67" s="70">
        <f t="shared" si="8"/>
        <v>0.10344827586206896</v>
      </c>
      <c r="Y67" s="70">
        <f t="shared" si="8"/>
        <v>0.23218390804597702</v>
      </c>
      <c r="Z67" s="70">
        <f t="shared" si="8"/>
        <v>0.335632183908046</v>
      </c>
      <c r="AA67" s="70">
        <f t="shared" si="8"/>
        <v>0.10344827586206896</v>
      </c>
      <c r="AB67" s="70">
        <f t="shared" si="8"/>
        <v>0.10344827586206896</v>
      </c>
      <c r="AC67" s="70">
        <f t="shared" si="8"/>
        <v>0.15632183908045977</v>
      </c>
      <c r="AD67" s="70">
        <f t="shared" si="8"/>
        <v>0.18160919540229886</v>
      </c>
      <c r="AE67" s="70">
        <f t="shared" si="8"/>
        <v>0.30804597701149428</v>
      </c>
      <c r="AF67" s="70">
        <f t="shared" si="8"/>
        <v>0.32643678160919543</v>
      </c>
      <c r="AG67" s="70">
        <f t="shared" si="8"/>
        <v>0</v>
      </c>
      <c r="AH67" s="70">
        <f t="shared" si="8"/>
        <v>0</v>
      </c>
      <c r="AI67" s="70">
        <f t="shared" si="8"/>
        <v>6.5517241379310351E-2</v>
      </c>
      <c r="AJ67" s="70">
        <f t="shared" si="8"/>
        <v>6.5517241379310351E-2</v>
      </c>
      <c r="AK67" s="70">
        <f t="shared" si="8"/>
        <v>6.5517241379310351E-2</v>
      </c>
      <c r="AL67" s="70">
        <f t="shared" si="8"/>
        <v>6.5517241379310351E-2</v>
      </c>
      <c r="AM67" s="70">
        <f t="shared" si="8"/>
        <v>0</v>
      </c>
      <c r="AN67" s="70">
        <f t="shared" si="8"/>
        <v>0</v>
      </c>
    </row>
    <row r="68" spans="1:40" ht="25.05" customHeight="1">
      <c r="B68" s="71"/>
      <c r="C68" s="71"/>
      <c r="D68" s="71"/>
      <c r="E68" s="72"/>
      <c r="F68" s="72"/>
      <c r="G68" s="72"/>
      <c r="H68" s="72"/>
      <c r="I68" s="73"/>
      <c r="J68" s="73"/>
      <c r="K68" s="72"/>
      <c r="L68" s="74"/>
      <c r="M68" s="74"/>
      <c r="N68" s="74"/>
      <c r="O68" s="74"/>
      <c r="P68" s="74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</row>
    <row r="69" spans="1:40" ht="25.05" customHeight="1">
      <c r="B69" s="71"/>
      <c r="C69" s="71"/>
      <c r="D69" s="71"/>
      <c r="E69" s="72"/>
      <c r="F69" s="72"/>
      <c r="G69" s="72"/>
      <c r="H69" s="72"/>
      <c r="I69" s="75" t="s">
        <v>162</v>
      </c>
      <c r="J69" s="73"/>
      <c r="K69" s="72"/>
      <c r="L69" s="74"/>
      <c r="M69" s="74"/>
      <c r="N69" s="74"/>
      <c r="O69" s="74"/>
      <c r="P69" s="74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</row>
    <row r="70" spans="1:40" ht="25.05" customHeight="1">
      <c r="B70" s="71"/>
      <c r="C70" s="71"/>
      <c r="D70" s="71"/>
      <c r="E70" s="72"/>
      <c r="F70" s="72"/>
      <c r="G70" s="72"/>
      <c r="H70" s="72"/>
      <c r="I70" s="76" t="s">
        <v>163</v>
      </c>
      <c r="J70" s="10">
        <v>0</v>
      </c>
      <c r="K70" s="12">
        <v>8</v>
      </c>
      <c r="L70" s="12" t="s">
        <v>164</v>
      </c>
      <c r="M70" s="74"/>
      <c r="N70" s="16">
        <v>3</v>
      </c>
      <c r="O70" s="16"/>
      <c r="P70" s="16"/>
      <c r="Q70" s="77" t="s">
        <v>165</v>
      </c>
      <c r="R70" s="78"/>
      <c r="S70" s="72"/>
      <c r="T70" s="72"/>
      <c r="U70" s="72"/>
      <c r="V70" s="72"/>
      <c r="W70" s="72"/>
      <c r="X70" s="72"/>
      <c r="Y70" s="72"/>
      <c r="Z70" s="72"/>
      <c r="AA70" s="72"/>
      <c r="AB70" s="72"/>
      <c r="AD70" s="72"/>
      <c r="AE70" s="72"/>
      <c r="AF70" s="72"/>
      <c r="AG70" s="72"/>
      <c r="AH70" s="72"/>
      <c r="AI70" s="72"/>
      <c r="AJ70" s="72"/>
    </row>
    <row r="71" spans="1:40" ht="25.05" customHeight="1">
      <c r="B71" s="71"/>
      <c r="C71" s="71"/>
      <c r="D71" s="71"/>
      <c r="E71" s="72"/>
      <c r="F71" s="72"/>
      <c r="G71" s="72"/>
      <c r="H71" s="72"/>
      <c r="I71" s="76" t="s">
        <v>166</v>
      </c>
      <c r="J71" s="10">
        <v>0</v>
      </c>
      <c r="K71" s="12">
        <v>0</v>
      </c>
      <c r="L71" s="12" t="s">
        <v>164</v>
      </c>
      <c r="M71" s="74"/>
      <c r="N71" s="16">
        <v>0</v>
      </c>
      <c r="O71" s="16"/>
      <c r="P71" s="16"/>
      <c r="Q71" s="77" t="s">
        <v>167</v>
      </c>
      <c r="R71" s="78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</row>
    <row r="72" spans="1:40" ht="25.05" customHeight="1">
      <c r="B72" s="71"/>
      <c r="C72" s="71"/>
      <c r="D72" s="71"/>
      <c r="E72" s="72"/>
      <c r="F72" s="72"/>
      <c r="G72" s="72"/>
      <c r="H72" s="72"/>
      <c r="I72" s="76" t="s">
        <v>168</v>
      </c>
      <c r="J72" s="10">
        <v>0</v>
      </c>
      <c r="K72" s="12">
        <v>17</v>
      </c>
      <c r="L72" s="12" t="s">
        <v>164</v>
      </c>
      <c r="M72" s="74"/>
      <c r="N72" s="16">
        <v>1</v>
      </c>
      <c r="O72" s="16"/>
      <c r="P72" s="16"/>
      <c r="Q72" s="77" t="s">
        <v>169</v>
      </c>
      <c r="R72" s="78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</row>
    <row r="73" spans="1:40" ht="25.05" customHeight="1">
      <c r="B73" s="71"/>
      <c r="C73" s="71"/>
      <c r="D73" s="71"/>
      <c r="E73" s="72"/>
      <c r="F73" s="72"/>
      <c r="G73" s="72"/>
      <c r="H73" s="72"/>
      <c r="I73" s="79" t="s">
        <v>170</v>
      </c>
      <c r="J73" s="52">
        <v>0</v>
      </c>
      <c r="K73" s="12">
        <v>2</v>
      </c>
      <c r="L73" s="53" t="s">
        <v>164</v>
      </c>
      <c r="M73" s="74"/>
      <c r="N73" s="16">
        <v>2</v>
      </c>
      <c r="O73" s="16"/>
      <c r="P73" s="16"/>
      <c r="Q73" s="77" t="s">
        <v>171</v>
      </c>
      <c r="R73" s="78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</row>
    <row r="74" spans="1:40" ht="25.05" customHeight="1">
      <c r="B74" s="71"/>
      <c r="C74" s="71"/>
      <c r="D74" s="71"/>
      <c r="E74" s="72"/>
      <c r="F74" s="72"/>
      <c r="G74" s="72"/>
      <c r="H74" s="72"/>
      <c r="I74" s="76" t="s">
        <v>172</v>
      </c>
      <c r="J74" s="10">
        <v>0</v>
      </c>
      <c r="K74" s="12">
        <v>27</v>
      </c>
      <c r="L74" s="12" t="s">
        <v>164</v>
      </c>
      <c r="M74" s="74"/>
      <c r="N74"/>
      <c r="O74"/>
      <c r="P74"/>
      <c r="Q74"/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</row>
    <row r="75" spans="1:40" ht="25.05" customHeight="1">
      <c r="B75" s="71"/>
      <c r="C75" s="71"/>
      <c r="D75" s="71"/>
      <c r="E75" s="72"/>
      <c r="F75" s="72"/>
      <c r="G75" s="72"/>
      <c r="H75" s="72"/>
      <c r="M75" s="74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</row>
    <row r="76" spans="1:40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N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AC43-D47A-40BC-A56E-C89B3D465A73}">
  <sheetPr>
    <pageSetUpPr fitToPage="1"/>
  </sheetPr>
  <dimension ref="A1:AM110"/>
  <sheetViews>
    <sheetView zoomScale="70" zoomScaleNormal="7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1" customWidth="1"/>
    <col min="2" max="2" width="13" style="1" customWidth="1"/>
    <col min="3" max="3" width="17.5546875" style="1" customWidth="1"/>
    <col min="4" max="4" width="77.44140625" style="1" customWidth="1"/>
    <col min="5" max="5" width="46" style="1" customWidth="1"/>
    <col min="6" max="6" width="25.21875" style="1" customWidth="1"/>
    <col min="7" max="7" width="13.44140625" style="1" customWidth="1"/>
    <col min="8" max="8" width="12.5546875" style="1" customWidth="1"/>
    <col min="9" max="9" width="22.5546875" style="1" customWidth="1"/>
    <col min="10" max="10" width="12.5546875" style="1" customWidth="1"/>
    <col min="11" max="11" width="17.44140625" style="1" customWidth="1"/>
    <col min="12" max="12" width="20.77734375" style="1" customWidth="1"/>
    <col min="13" max="31" width="16.21875" style="1" customWidth="1"/>
    <col min="32" max="32" width="17.77734375" style="1" customWidth="1"/>
    <col min="33" max="38" width="16.21875" style="1" customWidth="1"/>
    <col min="39" max="39" width="14.44140625" style="1" customWidth="1"/>
    <col min="40" max="16384" width="10.21875" style="1"/>
  </cols>
  <sheetData>
    <row r="1" spans="1:39" ht="18.75" customHeight="1">
      <c r="A1" s="1" t="s">
        <v>0</v>
      </c>
    </row>
    <row r="2" spans="1:39" ht="25.05" customHeight="1">
      <c r="B2" s="114" t="s">
        <v>1</v>
      </c>
      <c r="C2" s="114" t="s">
        <v>2</v>
      </c>
      <c r="D2" s="114" t="s">
        <v>3</v>
      </c>
      <c r="E2" s="114" t="s">
        <v>4</v>
      </c>
      <c r="F2" s="114" t="s">
        <v>5</v>
      </c>
      <c r="G2" s="115" t="s">
        <v>6</v>
      </c>
      <c r="H2" s="115"/>
      <c r="I2" s="109" t="s">
        <v>7</v>
      </c>
      <c r="J2" s="110" t="s">
        <v>8</v>
      </c>
      <c r="K2" s="110" t="s">
        <v>9</v>
      </c>
      <c r="L2" s="110" t="s">
        <v>10</v>
      </c>
      <c r="M2" s="111" t="s">
        <v>11</v>
      </c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3"/>
    </row>
    <row r="3" spans="1:39" ht="46.5" customHeight="1">
      <c r="B3" s="114"/>
      <c r="C3" s="114"/>
      <c r="D3" s="114"/>
      <c r="E3" s="114"/>
      <c r="F3" s="114"/>
      <c r="G3" s="3" t="s">
        <v>12</v>
      </c>
      <c r="H3" s="3" t="s">
        <v>13</v>
      </c>
      <c r="I3" s="109"/>
      <c r="J3" s="110"/>
      <c r="K3" s="110"/>
      <c r="L3" s="110"/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4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</row>
    <row r="4" spans="1:39" ht="25.05" customHeight="1">
      <c r="B4" s="5" t="s">
        <v>236</v>
      </c>
      <c r="C4" s="6" t="s">
        <v>42</v>
      </c>
      <c r="D4" s="7"/>
      <c r="E4" s="8" t="s">
        <v>43</v>
      </c>
      <c r="F4" s="9" t="s">
        <v>44</v>
      </c>
      <c r="G4" s="10">
        <v>0.29166666666666669</v>
      </c>
      <c r="H4" s="10">
        <v>0.3125</v>
      </c>
      <c r="I4" s="11">
        <f t="shared" ref="I4:I28" si="0">H4-G4</f>
        <v>2.0833333333333315E-2</v>
      </c>
      <c r="J4" s="12">
        <v>10</v>
      </c>
      <c r="K4" s="12">
        <v>0</v>
      </c>
      <c r="L4" s="13">
        <f t="shared" ref="L4:L28" si="1">IFERROR(((K4/(J4*I4)/24)),"0")</f>
        <v>0</v>
      </c>
      <c r="M4" s="12"/>
      <c r="N4" s="12"/>
      <c r="O4" s="12"/>
      <c r="P4" s="12"/>
      <c r="Q4" s="12"/>
      <c r="R4" s="14"/>
      <c r="S4" s="14"/>
      <c r="T4" s="12"/>
      <c r="U4" s="12"/>
      <c r="V4" s="14"/>
      <c r="W4" s="14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ht="25.05" customHeight="1">
      <c r="B5" s="15"/>
      <c r="C5" s="16"/>
      <c r="D5" s="7" t="s">
        <v>120</v>
      </c>
      <c r="E5" s="20" t="s">
        <v>237</v>
      </c>
      <c r="F5" s="22" t="s">
        <v>238</v>
      </c>
      <c r="G5" s="10">
        <v>0.29166666666666669</v>
      </c>
      <c r="H5" s="10">
        <v>0.30555555555555558</v>
      </c>
      <c r="I5" s="11">
        <f t="shared" si="0"/>
        <v>1.3888888888888895E-2</v>
      </c>
      <c r="J5" s="12">
        <v>1</v>
      </c>
      <c r="K5" s="18">
        <v>2.65</v>
      </c>
      <c r="L5" s="13">
        <f t="shared" si="1"/>
        <v>7.9499999999999957</v>
      </c>
      <c r="M5" s="12">
        <v>20</v>
      </c>
      <c r="N5" s="12"/>
      <c r="O5" s="12"/>
      <c r="P5" s="12"/>
      <c r="Q5" s="12"/>
      <c r="R5" s="14"/>
      <c r="S5" s="14"/>
      <c r="T5" s="12"/>
      <c r="U5" s="12"/>
      <c r="V5" s="14"/>
      <c r="W5" s="14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ht="25.05" customHeight="1">
      <c r="B6" s="15"/>
      <c r="C6" s="16"/>
      <c r="D6" s="7" t="s">
        <v>52</v>
      </c>
      <c r="E6" s="20" t="s">
        <v>239</v>
      </c>
      <c r="F6" s="22" t="s">
        <v>44</v>
      </c>
      <c r="G6" s="10">
        <v>0.2986111111111111</v>
      </c>
      <c r="H6" s="10">
        <v>0.43055555555555558</v>
      </c>
      <c r="I6" s="11">
        <f t="shared" si="0"/>
        <v>0.13194444444444448</v>
      </c>
      <c r="J6" s="12">
        <v>4</v>
      </c>
      <c r="K6" s="18">
        <v>407</v>
      </c>
      <c r="L6" s="13">
        <f t="shared" si="1"/>
        <v>32.131578947368418</v>
      </c>
      <c r="M6" s="12"/>
      <c r="N6" s="12"/>
      <c r="O6" s="12">
        <v>190</v>
      </c>
      <c r="P6" s="12"/>
      <c r="Q6" s="12"/>
      <c r="R6" s="14"/>
      <c r="S6" s="14"/>
      <c r="T6" s="12"/>
      <c r="U6" s="12"/>
      <c r="V6" s="14"/>
      <c r="W6" s="14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 ht="25.05" customHeight="1">
      <c r="B7" s="15"/>
      <c r="C7" s="16"/>
      <c r="D7" s="7"/>
      <c r="E7" s="20" t="s">
        <v>240</v>
      </c>
      <c r="F7" s="22" t="s">
        <v>241</v>
      </c>
      <c r="G7" s="10">
        <v>0.29166666666666669</v>
      </c>
      <c r="H7" s="10">
        <v>0.47916666666666669</v>
      </c>
      <c r="I7" s="11">
        <f t="shared" si="0"/>
        <v>0.1875</v>
      </c>
      <c r="J7" s="12">
        <v>3</v>
      </c>
      <c r="K7" s="18">
        <v>138.4</v>
      </c>
      <c r="L7" s="13">
        <f t="shared" si="1"/>
        <v>10.251851851851852</v>
      </c>
      <c r="M7" s="12"/>
      <c r="N7" s="12"/>
      <c r="O7" s="12"/>
      <c r="P7" s="12"/>
      <c r="Q7" s="12"/>
      <c r="R7" s="14"/>
      <c r="S7" s="14">
        <v>270</v>
      </c>
      <c r="T7" s="12"/>
      <c r="U7" s="12"/>
      <c r="V7" s="14"/>
      <c r="W7" s="14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 ht="25.05" customHeight="1">
      <c r="B8" s="15"/>
      <c r="C8" s="16"/>
      <c r="D8" s="7"/>
      <c r="E8" s="20" t="s">
        <v>242</v>
      </c>
      <c r="F8" s="22" t="s">
        <v>44</v>
      </c>
      <c r="G8" s="10">
        <v>0.29166666666666669</v>
      </c>
      <c r="H8" s="10">
        <v>0.375</v>
      </c>
      <c r="I8" s="11">
        <f t="shared" si="0"/>
        <v>8.3333333333333315E-2</v>
      </c>
      <c r="J8" s="12">
        <v>1</v>
      </c>
      <c r="K8" s="18">
        <v>407</v>
      </c>
      <c r="L8" s="13">
        <f t="shared" si="1"/>
        <v>203.50000000000003</v>
      </c>
      <c r="M8" s="12"/>
      <c r="N8" s="12"/>
      <c r="O8" s="12"/>
      <c r="P8" s="12"/>
      <c r="Q8" s="12"/>
      <c r="R8" s="14"/>
      <c r="S8" s="14"/>
      <c r="T8" s="12"/>
      <c r="U8" s="12"/>
      <c r="V8" s="14"/>
      <c r="W8" s="14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 ht="25.05" customHeight="1">
      <c r="B9" s="15"/>
      <c r="C9" s="16"/>
      <c r="D9" s="7"/>
      <c r="E9" s="20" t="s">
        <v>243</v>
      </c>
      <c r="F9" s="22" t="s">
        <v>44</v>
      </c>
      <c r="G9" s="10">
        <v>0.29166666666666669</v>
      </c>
      <c r="H9" s="10">
        <v>0.33333333333333331</v>
      </c>
      <c r="I9" s="11">
        <f t="shared" si="0"/>
        <v>4.166666666666663E-2</v>
      </c>
      <c r="J9" s="12">
        <v>1</v>
      </c>
      <c r="K9" s="18">
        <v>138.4</v>
      </c>
      <c r="L9" s="13">
        <f t="shared" si="1"/>
        <v>138.40000000000012</v>
      </c>
      <c r="M9" s="12"/>
      <c r="N9" s="12"/>
      <c r="O9" s="12"/>
      <c r="P9" s="12"/>
      <c r="Q9" s="12"/>
      <c r="R9" s="14"/>
      <c r="S9" s="14"/>
      <c r="T9" s="12"/>
      <c r="U9" s="12"/>
      <c r="V9" s="14"/>
      <c r="W9" s="14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25.05" customHeight="1">
      <c r="B10" s="15"/>
      <c r="C10" s="16"/>
      <c r="D10" s="7"/>
      <c r="E10" s="20" t="s">
        <v>51</v>
      </c>
      <c r="F10" s="22" t="s">
        <v>44</v>
      </c>
      <c r="G10" s="10">
        <v>0.29166666666666669</v>
      </c>
      <c r="H10" s="10">
        <v>0.3888888888888889</v>
      </c>
      <c r="I10" s="11">
        <f t="shared" si="0"/>
        <v>9.722222222222221E-2</v>
      </c>
      <c r="J10" s="12">
        <v>1</v>
      </c>
      <c r="K10" s="18">
        <v>368.6</v>
      </c>
      <c r="L10" s="13">
        <f t="shared" si="1"/>
        <v>157.97142857142862</v>
      </c>
      <c r="M10" s="12"/>
      <c r="N10" s="12"/>
      <c r="O10" s="12"/>
      <c r="P10" s="12"/>
      <c r="Q10" s="12"/>
      <c r="R10" s="14"/>
      <c r="S10" s="14"/>
      <c r="T10" s="12"/>
      <c r="U10" s="12"/>
      <c r="V10" s="14"/>
      <c r="W10" s="14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ht="25.05" customHeight="1">
      <c r="B11" s="15"/>
      <c r="C11" s="16"/>
      <c r="D11" s="23" t="s">
        <v>120</v>
      </c>
      <c r="E11" s="20" t="s">
        <v>244</v>
      </c>
      <c r="F11" s="22" t="s">
        <v>44</v>
      </c>
      <c r="G11" s="10">
        <v>0.39583333333333331</v>
      </c>
      <c r="H11" s="10">
        <v>0.49305555555555558</v>
      </c>
      <c r="I11" s="11">
        <f t="shared" si="0"/>
        <v>9.7222222222222265E-2</v>
      </c>
      <c r="J11" s="12">
        <v>1</v>
      </c>
      <c r="K11" s="18">
        <v>23</v>
      </c>
      <c r="L11" s="13">
        <f t="shared" si="1"/>
        <v>9.8571428571428523</v>
      </c>
      <c r="M11" s="12"/>
      <c r="N11" s="12"/>
      <c r="O11" s="12"/>
      <c r="P11" s="12"/>
      <c r="Q11" s="12"/>
      <c r="R11" s="14"/>
      <c r="S11" s="14"/>
      <c r="T11" s="12"/>
      <c r="U11" s="12"/>
      <c r="V11" s="14"/>
      <c r="W11" s="14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ht="25.05" customHeight="1">
      <c r="B12" s="15"/>
      <c r="C12" s="16"/>
      <c r="D12" s="7"/>
      <c r="E12" s="20" t="s">
        <v>62</v>
      </c>
      <c r="F12" s="22" t="s">
        <v>63</v>
      </c>
      <c r="G12" s="10">
        <v>0.41666666666666669</v>
      </c>
      <c r="H12" s="10">
        <v>0.44444444444444442</v>
      </c>
      <c r="I12" s="11">
        <f t="shared" si="0"/>
        <v>2.7777777777777735E-2</v>
      </c>
      <c r="J12" s="12">
        <v>1</v>
      </c>
      <c r="K12" s="18">
        <v>15</v>
      </c>
      <c r="L12" s="13">
        <f t="shared" si="1"/>
        <v>22.500000000000032</v>
      </c>
      <c r="M12" s="12"/>
      <c r="N12" s="12"/>
      <c r="O12" s="12"/>
      <c r="P12" s="12"/>
      <c r="Q12" s="12"/>
      <c r="R12" s="14">
        <v>40</v>
      </c>
      <c r="S12" s="14"/>
      <c r="T12" s="12"/>
      <c r="U12" s="12"/>
      <c r="V12" s="14"/>
      <c r="W12" s="14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ht="25.05" customHeight="1">
      <c r="B13" s="15"/>
      <c r="C13" s="16"/>
      <c r="D13" s="7"/>
      <c r="E13" s="20" t="s">
        <v>245</v>
      </c>
      <c r="F13" s="22" t="s">
        <v>44</v>
      </c>
      <c r="G13" s="10">
        <v>0.43055555555555558</v>
      </c>
      <c r="H13" s="10">
        <v>0.47916666666666669</v>
      </c>
      <c r="I13" s="11">
        <f t="shared" si="0"/>
        <v>4.8611111111111105E-2</v>
      </c>
      <c r="J13" s="12">
        <v>3</v>
      </c>
      <c r="K13" s="18">
        <v>180</v>
      </c>
      <c r="L13" s="13">
        <f t="shared" si="1"/>
        <v>51.428571428571438</v>
      </c>
      <c r="M13" s="12"/>
      <c r="N13" s="12"/>
      <c r="O13" s="12"/>
      <c r="P13" s="12"/>
      <c r="Q13" s="12"/>
      <c r="R13" s="14"/>
      <c r="S13" s="14"/>
      <c r="T13" s="12"/>
      <c r="U13" s="12"/>
      <c r="V13" s="14"/>
      <c r="W13" s="14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ht="25.05" customHeight="1">
      <c r="B14" s="15"/>
      <c r="C14" s="16"/>
      <c r="D14" s="7" t="s">
        <v>52</v>
      </c>
      <c r="E14" s="20" t="s">
        <v>240</v>
      </c>
      <c r="F14" s="22" t="s">
        <v>241</v>
      </c>
      <c r="G14" s="10">
        <v>0.45833333333333331</v>
      </c>
      <c r="H14" s="10">
        <v>0.5</v>
      </c>
      <c r="I14" s="11">
        <f t="shared" si="0"/>
        <v>4.1666666666666685E-2</v>
      </c>
      <c r="J14" s="12">
        <v>1</v>
      </c>
      <c r="K14" s="18">
        <v>138.4</v>
      </c>
      <c r="L14" s="13">
        <f t="shared" si="1"/>
        <v>138.39999999999995</v>
      </c>
      <c r="M14" s="12"/>
      <c r="N14" s="12"/>
      <c r="O14" s="12">
        <v>60</v>
      </c>
      <c r="P14" s="12"/>
      <c r="Q14" s="12"/>
      <c r="R14" s="14"/>
      <c r="S14" s="14"/>
      <c r="T14" s="12"/>
      <c r="U14" s="12"/>
      <c r="V14" s="14"/>
      <c r="W14" s="14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ht="25.05" customHeight="1">
      <c r="B15" s="15"/>
      <c r="C15" s="16"/>
      <c r="D15" s="7"/>
      <c r="E15" s="20" t="s">
        <v>74</v>
      </c>
      <c r="F15" s="22" t="s">
        <v>44</v>
      </c>
      <c r="G15" s="10">
        <v>0.49305555555555558</v>
      </c>
      <c r="H15" s="10">
        <v>0.50694444444444442</v>
      </c>
      <c r="I15" s="11">
        <f t="shared" si="0"/>
        <v>1.388888888888884E-2</v>
      </c>
      <c r="J15" s="12">
        <v>10</v>
      </c>
      <c r="K15" s="18" t="s">
        <v>44</v>
      </c>
      <c r="L15" s="13" t="str">
        <f t="shared" si="1"/>
        <v>0</v>
      </c>
      <c r="M15" s="12"/>
      <c r="N15" s="12"/>
      <c r="O15" s="12"/>
      <c r="P15" s="12"/>
      <c r="Q15" s="12"/>
      <c r="R15" s="14"/>
      <c r="S15" s="14"/>
      <c r="T15" s="12"/>
      <c r="U15" s="12"/>
      <c r="V15" s="14"/>
      <c r="W15" s="14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 ht="25.05" customHeight="1">
      <c r="B16" s="15"/>
      <c r="C16" s="16"/>
      <c r="D16" s="7"/>
      <c r="E16" s="20" t="s">
        <v>67</v>
      </c>
      <c r="F16" s="22" t="s">
        <v>44</v>
      </c>
      <c r="G16" s="10">
        <v>0.50694444444444442</v>
      </c>
      <c r="H16" s="10">
        <v>0.54861111111111116</v>
      </c>
      <c r="I16" s="11">
        <f t="shared" si="0"/>
        <v>4.1666666666666741E-2</v>
      </c>
      <c r="J16" s="12">
        <v>12</v>
      </c>
      <c r="K16" s="18" t="s">
        <v>44</v>
      </c>
      <c r="L16" s="13" t="str">
        <f t="shared" si="1"/>
        <v>0</v>
      </c>
      <c r="M16" s="12"/>
      <c r="N16" s="12"/>
      <c r="O16" s="12"/>
      <c r="P16" s="12"/>
      <c r="Q16" s="12"/>
      <c r="R16" s="14"/>
      <c r="S16" s="14"/>
      <c r="T16" s="12"/>
      <c r="U16" s="12"/>
      <c r="V16" s="14"/>
      <c r="W16" s="14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</row>
    <row r="17" spans="1:39" ht="25.05" customHeight="1">
      <c r="B17" s="15"/>
      <c r="C17" s="16"/>
      <c r="D17" s="23" t="s">
        <v>120</v>
      </c>
      <c r="E17" s="20" t="s">
        <v>246</v>
      </c>
      <c r="F17" s="22" t="s">
        <v>44</v>
      </c>
      <c r="G17" s="10">
        <v>0.54861111111111116</v>
      </c>
      <c r="H17" s="10">
        <v>0.55902777777777779</v>
      </c>
      <c r="I17" s="11">
        <f t="shared" si="0"/>
        <v>1.041666666666663E-2</v>
      </c>
      <c r="J17" s="12">
        <v>1</v>
      </c>
      <c r="K17" s="18">
        <v>30</v>
      </c>
      <c r="L17" s="13">
        <f t="shared" si="1"/>
        <v>120.00000000000041</v>
      </c>
      <c r="M17" s="12">
        <v>15</v>
      </c>
      <c r="N17" s="12"/>
      <c r="O17" s="12"/>
      <c r="P17" s="12"/>
      <c r="Q17" s="12"/>
      <c r="R17" s="14"/>
      <c r="S17" s="14"/>
      <c r="T17" s="12"/>
      <c r="U17" s="12"/>
      <c r="V17" s="14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ht="25.05" customHeight="1">
      <c r="B18" s="15"/>
      <c r="C18" s="16"/>
      <c r="D18" s="7"/>
      <c r="E18" s="20" t="s">
        <v>247</v>
      </c>
      <c r="F18" s="22" t="s">
        <v>44</v>
      </c>
      <c r="G18" s="10">
        <v>0.56041666666666667</v>
      </c>
      <c r="H18" s="10">
        <v>0.57638888888888884</v>
      </c>
      <c r="I18" s="11">
        <f t="shared" si="0"/>
        <v>1.5972222222222165E-2</v>
      </c>
      <c r="J18" s="12">
        <v>1</v>
      </c>
      <c r="K18" s="18">
        <v>8</v>
      </c>
      <c r="L18" s="13">
        <f t="shared" si="1"/>
        <v>20.869565217391379</v>
      </c>
      <c r="M18" s="12">
        <v>23</v>
      </c>
      <c r="N18" s="12"/>
      <c r="O18" s="12"/>
      <c r="P18" s="12"/>
      <c r="Q18" s="12"/>
      <c r="R18" s="14"/>
      <c r="S18" s="14"/>
      <c r="T18" s="12"/>
      <c r="U18" s="12"/>
      <c r="V18" s="14"/>
      <c r="W18" s="14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pans="1:39" ht="25.05" customHeight="1">
      <c r="B19" s="15"/>
      <c r="C19" s="16"/>
      <c r="D19" s="7"/>
      <c r="E19" s="20" t="s">
        <v>248</v>
      </c>
      <c r="F19" s="22" t="s">
        <v>44</v>
      </c>
      <c r="G19" s="10">
        <v>0.54861111111111116</v>
      </c>
      <c r="H19" s="10">
        <v>0.61111111111111116</v>
      </c>
      <c r="I19" s="11">
        <f t="shared" si="0"/>
        <v>6.25E-2</v>
      </c>
      <c r="J19" s="12">
        <v>3</v>
      </c>
      <c r="K19" s="18">
        <v>95</v>
      </c>
      <c r="L19" s="13">
        <f t="shared" si="1"/>
        <v>21.111111111111111</v>
      </c>
      <c r="M19" s="12"/>
      <c r="N19" s="12"/>
      <c r="O19" s="12"/>
      <c r="P19" s="12"/>
      <c r="Q19" s="12"/>
      <c r="R19" s="14"/>
      <c r="S19" s="14">
        <v>90</v>
      </c>
      <c r="T19" s="12"/>
      <c r="U19" s="12"/>
      <c r="V19" s="14"/>
      <c r="W19" s="14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</row>
    <row r="20" spans="1:39" ht="25.05" customHeight="1">
      <c r="B20" s="15"/>
      <c r="C20" s="16"/>
      <c r="D20" s="7"/>
      <c r="E20" s="20" t="s">
        <v>249</v>
      </c>
      <c r="F20" s="22" t="s">
        <v>44</v>
      </c>
      <c r="G20" s="10">
        <v>0.54861111111111116</v>
      </c>
      <c r="H20" s="10">
        <v>0.60416666666666663</v>
      </c>
      <c r="I20" s="11">
        <f t="shared" si="0"/>
        <v>5.5555555555555469E-2</v>
      </c>
      <c r="J20" s="12">
        <v>7</v>
      </c>
      <c r="K20" s="18">
        <v>220.35</v>
      </c>
      <c r="L20" s="13">
        <f t="shared" si="1"/>
        <v>23.608928571428606</v>
      </c>
      <c r="M20" s="12"/>
      <c r="N20" s="12"/>
      <c r="O20" s="12">
        <v>80</v>
      </c>
      <c r="P20" s="12"/>
      <c r="Q20" s="12"/>
      <c r="R20" s="14"/>
      <c r="S20" s="14"/>
      <c r="T20" s="12"/>
      <c r="U20" s="12"/>
      <c r="V20" s="14"/>
      <c r="W20" s="14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</row>
    <row r="21" spans="1:39" ht="25.05" customHeight="1">
      <c r="B21" s="15"/>
      <c r="C21" s="16"/>
      <c r="D21" s="7"/>
      <c r="E21" s="20" t="s">
        <v>250</v>
      </c>
      <c r="F21" s="22" t="s">
        <v>44</v>
      </c>
      <c r="G21" s="10">
        <v>0.58333333333333337</v>
      </c>
      <c r="H21" s="10">
        <v>0.60416666666666663</v>
      </c>
      <c r="I21" s="11">
        <f t="shared" si="0"/>
        <v>2.0833333333333259E-2</v>
      </c>
      <c r="J21" s="12">
        <v>1</v>
      </c>
      <c r="K21" s="18">
        <v>90</v>
      </c>
      <c r="L21" s="13">
        <f t="shared" si="1"/>
        <v>180.00000000000065</v>
      </c>
      <c r="M21" s="12"/>
      <c r="N21" s="12"/>
      <c r="O21" s="12"/>
      <c r="P21" s="12"/>
      <c r="Q21" s="12"/>
      <c r="R21" s="14"/>
      <c r="S21" s="14"/>
      <c r="T21" s="12"/>
      <c r="U21" s="12"/>
      <c r="V21" s="14"/>
      <c r="W21" s="14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</row>
    <row r="22" spans="1:39" ht="25.05" customHeight="1">
      <c r="B22" s="15"/>
      <c r="C22" s="16"/>
      <c r="D22" s="7"/>
      <c r="E22" s="20" t="s">
        <v>251</v>
      </c>
      <c r="F22" s="22" t="s">
        <v>44</v>
      </c>
      <c r="G22" s="10">
        <v>0.625</v>
      </c>
      <c r="H22" s="10">
        <v>0.66666666666666663</v>
      </c>
      <c r="I22" s="11">
        <f t="shared" si="0"/>
        <v>4.166666666666663E-2</v>
      </c>
      <c r="J22" s="12">
        <v>1</v>
      </c>
      <c r="K22" s="18">
        <v>360</v>
      </c>
      <c r="L22" s="13">
        <f t="shared" si="1"/>
        <v>360.00000000000028</v>
      </c>
      <c r="M22" s="12"/>
      <c r="N22" s="12"/>
      <c r="O22" s="12"/>
      <c r="P22" s="12"/>
      <c r="Q22" s="12"/>
      <c r="R22" s="14"/>
      <c r="S22" s="14"/>
      <c r="T22" s="12"/>
      <c r="U22" s="12"/>
      <c r="V22" s="14"/>
      <c r="W22" s="14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</row>
    <row r="23" spans="1:39" ht="25.05" customHeight="1">
      <c r="B23" s="15"/>
      <c r="C23" s="16"/>
      <c r="D23" s="7" t="s">
        <v>52</v>
      </c>
      <c r="E23" s="20" t="s">
        <v>239</v>
      </c>
      <c r="F23" s="22" t="s">
        <v>44</v>
      </c>
      <c r="G23" s="10">
        <v>0.66666666666666663</v>
      </c>
      <c r="H23" s="10">
        <v>0.70833333333333337</v>
      </c>
      <c r="I23" s="11">
        <f t="shared" si="0"/>
        <v>4.1666666666666741E-2</v>
      </c>
      <c r="J23" s="12">
        <v>6</v>
      </c>
      <c r="K23" s="18">
        <v>111</v>
      </c>
      <c r="L23" s="13">
        <f t="shared" si="1"/>
        <v>18.499999999999968</v>
      </c>
      <c r="M23" s="12"/>
      <c r="N23" s="12"/>
      <c r="O23" s="12">
        <v>60</v>
      </c>
      <c r="P23" s="12"/>
      <c r="Q23" s="12"/>
      <c r="R23" s="14"/>
      <c r="S23" s="14"/>
      <c r="T23" s="12"/>
      <c r="U23" s="12"/>
      <c r="V23" s="14"/>
      <c r="W23" s="14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</row>
    <row r="24" spans="1:39" ht="25.05" customHeight="1">
      <c r="B24" s="15"/>
      <c r="C24" s="16"/>
      <c r="D24" s="7"/>
      <c r="E24" s="20" t="s">
        <v>51</v>
      </c>
      <c r="F24" s="22" t="s">
        <v>44</v>
      </c>
      <c r="G24" s="10">
        <v>0.66666666666666663</v>
      </c>
      <c r="H24" s="10">
        <v>0.68055555555555558</v>
      </c>
      <c r="I24" s="11">
        <f t="shared" si="0"/>
        <v>1.3888888888888951E-2</v>
      </c>
      <c r="J24" s="12">
        <v>1</v>
      </c>
      <c r="K24" s="18">
        <v>108.44</v>
      </c>
      <c r="L24" s="13">
        <f t="shared" si="1"/>
        <v>325.31999999999852</v>
      </c>
      <c r="M24" s="12"/>
      <c r="N24" s="12"/>
      <c r="O24" s="12"/>
      <c r="P24" s="12"/>
      <c r="Q24" s="12"/>
      <c r="R24" s="14"/>
      <c r="S24" s="14"/>
      <c r="T24" s="12"/>
      <c r="U24" s="12"/>
      <c r="V24" s="14"/>
      <c r="W24" s="14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</row>
    <row r="25" spans="1:39" ht="25.05" customHeight="1">
      <c r="B25" s="15"/>
      <c r="C25" s="16"/>
      <c r="D25" s="7" t="s">
        <v>252</v>
      </c>
      <c r="E25" s="20" t="s">
        <v>64</v>
      </c>
      <c r="F25" s="22" t="s">
        <v>44</v>
      </c>
      <c r="G25" s="10">
        <v>0.65277777777777779</v>
      </c>
      <c r="H25" s="10">
        <v>0.73611111111111116</v>
      </c>
      <c r="I25" s="11">
        <f t="shared" si="0"/>
        <v>8.333333333333337E-2</v>
      </c>
      <c r="J25" s="12">
        <v>5</v>
      </c>
      <c r="K25" s="12">
        <v>206.55</v>
      </c>
      <c r="L25" s="13">
        <f t="shared" si="1"/>
        <v>20.65499999999999</v>
      </c>
      <c r="M25" s="12"/>
      <c r="N25" s="12"/>
      <c r="O25" s="12"/>
      <c r="P25" s="12"/>
      <c r="Q25" s="12"/>
      <c r="R25" s="14"/>
      <c r="S25" s="14">
        <v>120</v>
      </c>
      <c r="T25" s="12"/>
      <c r="U25" s="12"/>
      <c r="V25" s="14"/>
      <c r="W25" s="14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</row>
    <row r="26" spans="1:39" ht="25.05" customHeight="1">
      <c r="B26" s="15"/>
      <c r="C26" s="16"/>
      <c r="D26" s="7"/>
      <c r="E26" s="20" t="s">
        <v>69</v>
      </c>
      <c r="F26" s="22" t="s">
        <v>44</v>
      </c>
      <c r="G26" s="10">
        <v>0.63888888888888884</v>
      </c>
      <c r="H26" s="10">
        <v>0.72916666666666663</v>
      </c>
      <c r="I26" s="11">
        <f t="shared" si="0"/>
        <v>9.027777777777779E-2</v>
      </c>
      <c r="J26" s="12">
        <v>2</v>
      </c>
      <c r="K26" s="12">
        <v>210</v>
      </c>
      <c r="L26" s="13">
        <f t="shared" si="1"/>
        <v>48.461538461538453</v>
      </c>
      <c r="M26" s="12"/>
      <c r="N26" s="12"/>
      <c r="O26" s="12"/>
      <c r="P26" s="12"/>
      <c r="Q26" s="12"/>
      <c r="R26" s="14"/>
      <c r="S26" s="14">
        <v>130</v>
      </c>
      <c r="T26" s="12"/>
      <c r="U26" s="12"/>
      <c r="V26" s="14"/>
      <c r="W26" s="14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</row>
    <row r="27" spans="1:39" ht="25.05" customHeight="1">
      <c r="B27" s="15"/>
      <c r="C27" s="16"/>
      <c r="D27" s="7"/>
      <c r="E27" s="20" t="s">
        <v>67</v>
      </c>
      <c r="F27" s="22" t="s">
        <v>44</v>
      </c>
      <c r="G27" s="10">
        <v>0.72916666666666663</v>
      </c>
      <c r="H27" s="10">
        <v>0.75</v>
      </c>
      <c r="I27" s="11">
        <f t="shared" si="0"/>
        <v>2.083333333333337E-2</v>
      </c>
      <c r="J27" s="12">
        <v>10</v>
      </c>
      <c r="K27" s="12" t="s">
        <v>44</v>
      </c>
      <c r="L27" s="13" t="str">
        <f t="shared" si="1"/>
        <v>0</v>
      </c>
      <c r="M27" s="12"/>
      <c r="N27" s="12"/>
      <c r="O27" s="12"/>
      <c r="P27" s="12"/>
      <c r="Q27" s="12"/>
      <c r="R27" s="14"/>
      <c r="S27" s="14"/>
      <c r="T27" s="12"/>
      <c r="U27" s="12"/>
      <c r="V27" s="14"/>
      <c r="W27" s="14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</row>
    <row r="28" spans="1:39" ht="25.5" customHeight="1">
      <c r="B28" s="15"/>
      <c r="C28" s="16"/>
      <c r="D28" s="23"/>
      <c r="E28" s="20"/>
      <c r="F28" s="22"/>
      <c r="G28" s="10"/>
      <c r="H28" s="10"/>
      <c r="I28" s="11">
        <f t="shared" si="0"/>
        <v>0</v>
      </c>
      <c r="J28" s="12"/>
      <c r="K28" s="12"/>
      <c r="L28" s="13" t="str">
        <f t="shared" si="1"/>
        <v>0</v>
      </c>
      <c r="M28" s="12"/>
      <c r="N28" s="12"/>
      <c r="O28" s="12"/>
      <c r="P28" s="12"/>
      <c r="Q28" s="12"/>
      <c r="R28" s="14"/>
      <c r="S28" s="14"/>
      <c r="T28" s="12"/>
      <c r="U28" s="12"/>
      <c r="V28" s="14"/>
      <c r="W28" s="14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</row>
    <row r="29" spans="1:39" s="34" customFormat="1" ht="25.05" customHeight="1">
      <c r="A29" s="1"/>
      <c r="B29" s="27"/>
      <c r="C29" s="28"/>
      <c r="D29" s="29"/>
      <c r="E29" s="30"/>
      <c r="F29" s="30"/>
      <c r="G29" s="31"/>
      <c r="H29" s="31"/>
      <c r="I29" s="32"/>
      <c r="J29" s="18"/>
      <c r="K29" s="18">
        <f t="shared" ref="K29:AD29" si="2">SUM(K4:K28)</f>
        <v>3257.7900000000004</v>
      </c>
      <c r="L29" s="33">
        <f t="shared" si="2"/>
        <v>1910.9167170178325</v>
      </c>
      <c r="M29" s="18">
        <f t="shared" si="2"/>
        <v>58</v>
      </c>
      <c r="N29" s="18">
        <f t="shared" si="2"/>
        <v>0</v>
      </c>
      <c r="O29" s="18">
        <f t="shared" si="2"/>
        <v>390</v>
      </c>
      <c r="P29" s="18">
        <f t="shared" si="2"/>
        <v>0</v>
      </c>
      <c r="Q29" s="18">
        <f t="shared" si="2"/>
        <v>0</v>
      </c>
      <c r="R29" s="18">
        <f t="shared" si="2"/>
        <v>40</v>
      </c>
      <c r="S29" s="18">
        <f t="shared" si="2"/>
        <v>610</v>
      </c>
      <c r="T29" s="18">
        <f t="shared" si="2"/>
        <v>0</v>
      </c>
      <c r="U29" s="18">
        <f t="shared" si="2"/>
        <v>0</v>
      </c>
      <c r="V29" s="18">
        <f t="shared" si="2"/>
        <v>0</v>
      </c>
      <c r="W29" s="18">
        <f t="shared" si="2"/>
        <v>0</v>
      </c>
      <c r="X29" s="18">
        <f t="shared" si="2"/>
        <v>0</v>
      </c>
      <c r="Y29" s="18">
        <f t="shared" si="2"/>
        <v>0</v>
      </c>
      <c r="Z29" s="18">
        <f t="shared" si="2"/>
        <v>0</v>
      </c>
      <c r="AA29" s="18">
        <f t="shared" si="2"/>
        <v>0</v>
      </c>
      <c r="AB29" s="18">
        <f t="shared" si="2"/>
        <v>0</v>
      </c>
      <c r="AC29" s="18">
        <f t="shared" si="2"/>
        <v>0</v>
      </c>
      <c r="AD29" s="18">
        <f t="shared" si="2"/>
        <v>0</v>
      </c>
      <c r="AE29" s="18"/>
      <c r="AF29" s="18">
        <f t="shared" ref="AF29:AM29" si="3">SUM(AF4:AF28)</f>
        <v>0</v>
      </c>
      <c r="AG29" s="18">
        <f t="shared" si="3"/>
        <v>0</v>
      </c>
      <c r="AH29" s="18">
        <f t="shared" si="3"/>
        <v>0</v>
      </c>
      <c r="AI29" s="18">
        <f t="shared" si="3"/>
        <v>0</v>
      </c>
      <c r="AJ29" s="18">
        <f t="shared" si="3"/>
        <v>0</v>
      </c>
      <c r="AK29" s="18">
        <f t="shared" si="3"/>
        <v>0</v>
      </c>
      <c r="AL29" s="18">
        <f t="shared" si="3"/>
        <v>0</v>
      </c>
      <c r="AM29" s="18">
        <f t="shared" si="3"/>
        <v>0</v>
      </c>
    </row>
    <row r="30" spans="1:39" ht="25.05" customHeight="1">
      <c r="B30" s="5" t="s">
        <v>236</v>
      </c>
      <c r="C30" s="16" t="s">
        <v>71</v>
      </c>
      <c r="D30" s="7"/>
      <c r="E30" s="8" t="s">
        <v>43</v>
      </c>
      <c r="F30" s="9" t="s">
        <v>44</v>
      </c>
      <c r="G30" s="10">
        <v>0.29166666666666669</v>
      </c>
      <c r="H30" s="10">
        <v>0.33333333333333331</v>
      </c>
      <c r="I30" s="11">
        <f>H30-G30</f>
        <v>4.166666666666663E-2</v>
      </c>
      <c r="J30" s="12">
        <v>2</v>
      </c>
      <c r="K30" s="12">
        <v>0</v>
      </c>
      <c r="L30" s="13">
        <f>IFERROR(((K30/(J30*I30)/24)),"0")</f>
        <v>0</v>
      </c>
      <c r="M30" s="12"/>
      <c r="N30" s="12"/>
      <c r="O30" s="12"/>
      <c r="P30" s="12"/>
      <c r="Q30" s="12"/>
      <c r="R30" s="14"/>
      <c r="S30" s="14"/>
      <c r="T30" s="12"/>
      <c r="U30" s="12"/>
      <c r="V30" s="14"/>
      <c r="W30" s="14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</row>
    <row r="31" spans="1:39" ht="25.05" customHeight="1">
      <c r="B31" s="15"/>
      <c r="C31" s="16"/>
      <c r="D31" s="7" t="s">
        <v>120</v>
      </c>
      <c r="E31" s="8" t="s">
        <v>253</v>
      </c>
      <c r="F31" s="9" t="s">
        <v>44</v>
      </c>
      <c r="G31" s="10">
        <v>0.33333333333333331</v>
      </c>
      <c r="H31" s="10">
        <v>0.5</v>
      </c>
      <c r="I31" s="11">
        <f t="shared" ref="I31:I34" si="4">H31-G31</f>
        <v>0.16666666666666669</v>
      </c>
      <c r="J31" s="12">
        <v>12</v>
      </c>
      <c r="K31" s="12">
        <f>88*3</f>
        <v>264</v>
      </c>
      <c r="L31" s="13">
        <f t="shared" ref="L31:L34" si="5">IFERROR(((K31/(J31*I31)/24)),"0")</f>
        <v>5.5</v>
      </c>
      <c r="M31" s="12"/>
      <c r="N31" s="12"/>
      <c r="O31" s="12"/>
      <c r="P31" s="12"/>
      <c r="Q31" s="12"/>
      <c r="R31" s="14"/>
      <c r="S31" s="14"/>
      <c r="T31" s="12">
        <v>240</v>
      </c>
      <c r="U31" s="12"/>
      <c r="V31" s="14"/>
      <c r="W31" s="14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</row>
    <row r="32" spans="1:39" ht="25.05" customHeight="1">
      <c r="B32" s="15"/>
      <c r="C32" s="16"/>
      <c r="D32" s="23"/>
      <c r="E32" s="20" t="s">
        <v>74</v>
      </c>
      <c r="F32" s="9" t="s">
        <v>44</v>
      </c>
      <c r="G32" s="10">
        <v>0.5</v>
      </c>
      <c r="H32" s="10">
        <v>0.54166666666666663</v>
      </c>
      <c r="I32" s="11">
        <f t="shared" si="4"/>
        <v>4.166666666666663E-2</v>
      </c>
      <c r="J32" s="12">
        <v>12</v>
      </c>
      <c r="K32" s="12" t="s">
        <v>44</v>
      </c>
      <c r="L32" s="13" t="str">
        <f t="shared" si="5"/>
        <v>0</v>
      </c>
      <c r="M32" s="12"/>
      <c r="N32" s="12"/>
      <c r="O32" s="12"/>
      <c r="P32" s="12"/>
      <c r="Q32" s="12"/>
      <c r="R32" s="14"/>
      <c r="S32" s="14"/>
      <c r="T32" s="12"/>
      <c r="U32" s="12"/>
      <c r="V32" s="14"/>
      <c r="W32" s="14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</row>
    <row r="33" spans="1:39" ht="25.05" customHeight="1">
      <c r="B33" s="15"/>
      <c r="C33" s="16"/>
      <c r="D33" s="7"/>
      <c r="E33" s="8" t="s">
        <v>254</v>
      </c>
      <c r="F33" s="9" t="s">
        <v>44</v>
      </c>
      <c r="G33" s="10">
        <v>0.54166666666666663</v>
      </c>
      <c r="H33" s="10">
        <v>0.66666666666666663</v>
      </c>
      <c r="I33" s="11">
        <f t="shared" si="4"/>
        <v>0.125</v>
      </c>
      <c r="J33" s="12">
        <v>12</v>
      </c>
      <c r="K33" s="12">
        <f>88*2</f>
        <v>176</v>
      </c>
      <c r="L33" s="13">
        <f t="shared" si="5"/>
        <v>4.8888888888888884</v>
      </c>
      <c r="M33" s="12"/>
      <c r="N33" s="12"/>
      <c r="O33" s="12"/>
      <c r="P33" s="12"/>
      <c r="Q33" s="12"/>
      <c r="R33" s="14"/>
      <c r="S33" s="14"/>
      <c r="T33" s="12">
        <v>180</v>
      </c>
      <c r="U33" s="12"/>
      <c r="V33" s="14"/>
      <c r="W33" s="14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</row>
    <row r="34" spans="1:39" ht="25.05" customHeight="1">
      <c r="B34" s="15"/>
      <c r="C34" s="16"/>
      <c r="D34" s="23"/>
      <c r="E34" s="20" t="s">
        <v>67</v>
      </c>
      <c r="F34" s="9" t="s">
        <v>44</v>
      </c>
      <c r="G34" s="10">
        <v>0.66666666666666663</v>
      </c>
      <c r="H34" s="10">
        <v>0.70833333333333337</v>
      </c>
      <c r="I34" s="11">
        <f t="shared" si="4"/>
        <v>4.1666666666666741E-2</v>
      </c>
      <c r="J34" s="12">
        <v>12</v>
      </c>
      <c r="K34" s="12" t="s">
        <v>44</v>
      </c>
      <c r="L34" s="13" t="str">
        <f t="shared" si="5"/>
        <v>0</v>
      </c>
      <c r="M34" s="12"/>
      <c r="N34" s="12"/>
      <c r="O34" s="12"/>
      <c r="P34" s="12"/>
      <c r="Q34" s="12"/>
      <c r="R34" s="14"/>
      <c r="S34" s="14"/>
      <c r="T34" s="12"/>
      <c r="U34" s="12"/>
      <c r="V34" s="14"/>
      <c r="W34" s="14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</row>
    <row r="35" spans="1:39" s="34" customFormat="1" ht="25.05" customHeight="1">
      <c r="A35" s="1"/>
      <c r="B35" s="27"/>
      <c r="C35" s="28"/>
      <c r="D35" s="29"/>
      <c r="E35" s="30"/>
      <c r="F35" s="28"/>
      <c r="G35" s="31"/>
      <c r="H35" s="31"/>
      <c r="I35" s="32"/>
      <c r="J35" s="18"/>
      <c r="K35" s="18">
        <f t="shared" ref="K35:AD35" si="6">SUM(K30:K34)</f>
        <v>440</v>
      </c>
      <c r="L35" s="18">
        <f t="shared" si="6"/>
        <v>10.388888888888889</v>
      </c>
      <c r="M35" s="18">
        <f t="shared" si="6"/>
        <v>0</v>
      </c>
      <c r="N35" s="18">
        <f t="shared" si="6"/>
        <v>0</v>
      </c>
      <c r="O35" s="18">
        <f t="shared" si="6"/>
        <v>0</v>
      </c>
      <c r="P35" s="18">
        <f t="shared" si="6"/>
        <v>0</v>
      </c>
      <c r="Q35" s="18">
        <f t="shared" si="6"/>
        <v>0</v>
      </c>
      <c r="R35" s="18">
        <f t="shared" si="6"/>
        <v>0</v>
      </c>
      <c r="S35" s="18">
        <f t="shared" si="6"/>
        <v>0</v>
      </c>
      <c r="T35" s="18">
        <f t="shared" si="6"/>
        <v>420</v>
      </c>
      <c r="U35" s="18">
        <f t="shared" si="6"/>
        <v>0</v>
      </c>
      <c r="V35" s="18">
        <f t="shared" si="6"/>
        <v>0</v>
      </c>
      <c r="W35" s="18">
        <f t="shared" si="6"/>
        <v>0</v>
      </c>
      <c r="X35" s="18">
        <f t="shared" si="6"/>
        <v>0</v>
      </c>
      <c r="Y35" s="18">
        <f t="shared" si="6"/>
        <v>0</v>
      </c>
      <c r="Z35" s="18">
        <f t="shared" si="6"/>
        <v>0</v>
      </c>
      <c r="AA35" s="18">
        <f t="shared" si="6"/>
        <v>0</v>
      </c>
      <c r="AB35" s="18">
        <f t="shared" si="6"/>
        <v>0</v>
      </c>
      <c r="AC35" s="18">
        <f t="shared" si="6"/>
        <v>0</v>
      </c>
      <c r="AD35" s="18">
        <f t="shared" si="6"/>
        <v>0</v>
      </c>
      <c r="AE35" s="18"/>
      <c r="AF35" s="18">
        <f t="shared" ref="AF35:AM35" si="7">SUM(AF30:AF34)</f>
        <v>0</v>
      </c>
      <c r="AG35" s="18">
        <f t="shared" si="7"/>
        <v>0</v>
      </c>
      <c r="AH35" s="18">
        <f t="shared" si="7"/>
        <v>0</v>
      </c>
      <c r="AI35" s="18">
        <f t="shared" si="7"/>
        <v>0</v>
      </c>
      <c r="AJ35" s="18">
        <f t="shared" si="7"/>
        <v>0</v>
      </c>
      <c r="AK35" s="18">
        <f t="shared" si="7"/>
        <v>0</v>
      </c>
      <c r="AL35" s="18">
        <f t="shared" si="7"/>
        <v>0</v>
      </c>
      <c r="AM35" s="18">
        <f t="shared" si="7"/>
        <v>0</v>
      </c>
    </row>
    <row r="36" spans="1:39" ht="25.05" customHeight="1">
      <c r="B36" s="5" t="s">
        <v>236</v>
      </c>
      <c r="C36" s="35" t="s">
        <v>76</v>
      </c>
      <c r="D36" s="23"/>
      <c r="E36" s="8" t="s">
        <v>43</v>
      </c>
      <c r="F36" s="9" t="s">
        <v>44</v>
      </c>
      <c r="G36" s="10">
        <v>0.29166666666666669</v>
      </c>
      <c r="H36" s="10">
        <v>0.33333333333333331</v>
      </c>
      <c r="I36" s="11">
        <f t="shared" ref="I36:I99" si="8">H36-G36</f>
        <v>4.166666666666663E-2</v>
      </c>
      <c r="J36" s="12">
        <v>5</v>
      </c>
      <c r="K36" s="12">
        <v>0</v>
      </c>
      <c r="L36" s="13">
        <f t="shared" ref="L36:L99" si="9">IFERROR(((K36/(J36*I36)/24)),"0")</f>
        <v>0</v>
      </c>
      <c r="M36" s="12"/>
      <c r="N36" s="12"/>
      <c r="O36" s="12"/>
      <c r="P36" s="12"/>
      <c r="Q36" s="12"/>
      <c r="R36" s="14"/>
      <c r="S36" s="14"/>
      <c r="T36" s="12"/>
      <c r="U36" s="12"/>
      <c r="V36" s="14"/>
      <c r="W36" s="14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6"/>
    </row>
    <row r="37" spans="1:39" ht="25.05" customHeight="1">
      <c r="B37" s="15"/>
      <c r="C37" s="35"/>
      <c r="D37" s="23" t="s">
        <v>52</v>
      </c>
      <c r="E37" s="19" t="s">
        <v>116</v>
      </c>
      <c r="F37" s="9"/>
      <c r="G37" s="10">
        <v>0.58680555555555558</v>
      </c>
      <c r="H37" s="10">
        <v>0.58686342592592589</v>
      </c>
      <c r="I37" s="11">
        <f t="shared" si="8"/>
        <v>5.7870370370305402E-5</v>
      </c>
      <c r="J37" s="12">
        <v>4</v>
      </c>
      <c r="K37" s="12">
        <v>14.1</v>
      </c>
      <c r="L37" s="13">
        <f t="shared" si="9"/>
        <v>2538.000000002849</v>
      </c>
      <c r="M37" s="12"/>
      <c r="N37" s="12"/>
      <c r="O37" s="12"/>
      <c r="P37" s="12"/>
      <c r="Q37" s="12"/>
      <c r="R37" s="14"/>
      <c r="S37" s="14"/>
      <c r="T37" s="12"/>
      <c r="U37" s="12"/>
      <c r="V37" s="14">
        <v>2</v>
      </c>
      <c r="W37" s="14"/>
      <c r="X37" s="12"/>
      <c r="Y37" s="12"/>
      <c r="Z37" s="12"/>
      <c r="AA37" s="12"/>
      <c r="AB37" s="12"/>
      <c r="AC37" s="12">
        <v>1</v>
      </c>
      <c r="AD37" s="12"/>
      <c r="AE37" s="12"/>
      <c r="AF37" s="12"/>
      <c r="AG37" s="12"/>
      <c r="AH37" s="12"/>
      <c r="AI37" s="12"/>
      <c r="AJ37" s="12"/>
      <c r="AK37" s="12"/>
      <c r="AL37" s="12"/>
      <c r="AM37" s="16"/>
    </row>
    <row r="38" spans="1:39" ht="25.05" customHeight="1">
      <c r="B38" s="15"/>
      <c r="C38" s="35"/>
      <c r="D38" s="23"/>
      <c r="E38" s="19" t="s">
        <v>117</v>
      </c>
      <c r="F38" s="9"/>
      <c r="G38" s="10">
        <v>0.58750000000000002</v>
      </c>
      <c r="H38" s="10">
        <v>0.58755787037037033</v>
      </c>
      <c r="I38" s="11">
        <f t="shared" si="8"/>
        <v>5.7870370370305402E-5</v>
      </c>
      <c r="J38" s="12">
        <v>4</v>
      </c>
      <c r="K38" s="12">
        <v>14.75</v>
      </c>
      <c r="L38" s="13">
        <f t="shared" si="9"/>
        <v>2655.0000000029809</v>
      </c>
      <c r="M38" s="12"/>
      <c r="N38" s="12"/>
      <c r="O38" s="12"/>
      <c r="P38" s="12"/>
      <c r="Q38" s="12"/>
      <c r="R38" s="14"/>
      <c r="S38" s="14"/>
      <c r="T38" s="12"/>
      <c r="U38" s="12"/>
      <c r="V38" s="14">
        <v>2</v>
      </c>
      <c r="W38" s="14"/>
      <c r="X38" s="12"/>
      <c r="Y38" s="12"/>
      <c r="Z38" s="12"/>
      <c r="AA38" s="12"/>
      <c r="AB38" s="12"/>
      <c r="AC38" s="12">
        <v>1</v>
      </c>
      <c r="AD38" s="12"/>
      <c r="AE38" s="12"/>
      <c r="AF38" s="12"/>
      <c r="AG38" s="12"/>
      <c r="AH38" s="12"/>
      <c r="AI38" s="12"/>
      <c r="AJ38" s="12"/>
      <c r="AK38" s="12"/>
      <c r="AL38" s="12"/>
      <c r="AM38" s="16"/>
    </row>
    <row r="39" spans="1:39" ht="24.75" customHeight="1">
      <c r="B39" s="15"/>
      <c r="C39" s="35"/>
      <c r="D39" s="23"/>
      <c r="E39" s="19" t="s">
        <v>255</v>
      </c>
      <c r="F39" s="9"/>
      <c r="G39" s="10">
        <v>0.58819444444444446</v>
      </c>
      <c r="H39" s="10">
        <v>0.58825231481481477</v>
      </c>
      <c r="I39" s="11">
        <f t="shared" si="8"/>
        <v>5.7870370370305402E-5</v>
      </c>
      <c r="J39" s="12">
        <v>4</v>
      </c>
      <c r="K39" s="12">
        <v>15.71</v>
      </c>
      <c r="L39" s="13">
        <f t="shared" si="9"/>
        <v>2827.8000000031748</v>
      </c>
      <c r="M39" s="12"/>
      <c r="N39" s="12"/>
      <c r="O39" s="12"/>
      <c r="P39" s="12"/>
      <c r="Q39" s="12"/>
      <c r="R39" s="14"/>
      <c r="S39" s="14"/>
      <c r="T39" s="12"/>
      <c r="U39" s="12"/>
      <c r="V39" s="14">
        <v>2</v>
      </c>
      <c r="W39" s="14"/>
      <c r="X39" s="12"/>
      <c r="Y39" s="12"/>
      <c r="Z39" s="12"/>
      <c r="AA39" s="12"/>
      <c r="AB39" s="12"/>
      <c r="AC39" s="12">
        <v>1</v>
      </c>
      <c r="AD39" s="12"/>
      <c r="AE39" s="12"/>
      <c r="AF39" s="12"/>
      <c r="AG39" s="12"/>
      <c r="AH39" s="12"/>
      <c r="AI39" s="12"/>
      <c r="AJ39" s="12"/>
      <c r="AK39" s="12"/>
      <c r="AL39" s="12"/>
      <c r="AM39" s="16"/>
    </row>
    <row r="40" spans="1:39" ht="25.05" customHeight="1">
      <c r="B40" s="15"/>
      <c r="C40" s="35"/>
      <c r="D40" s="23"/>
      <c r="E40" s="19" t="s">
        <v>256</v>
      </c>
      <c r="F40" s="9"/>
      <c r="G40" s="10">
        <v>0.58888888888888891</v>
      </c>
      <c r="H40" s="10">
        <v>0.58894675925925921</v>
      </c>
      <c r="I40" s="11">
        <f t="shared" si="8"/>
        <v>5.7870370370305402E-5</v>
      </c>
      <c r="J40" s="12">
        <v>4</v>
      </c>
      <c r="K40" s="12">
        <v>15.64</v>
      </c>
      <c r="L40" s="13">
        <f t="shared" si="9"/>
        <v>2815.2000000031603</v>
      </c>
      <c r="M40" s="12"/>
      <c r="N40" s="12"/>
      <c r="O40" s="12"/>
      <c r="P40" s="12"/>
      <c r="Q40" s="12"/>
      <c r="R40" s="14"/>
      <c r="S40" s="14"/>
      <c r="T40" s="12"/>
      <c r="U40" s="12"/>
      <c r="V40" s="14">
        <v>2</v>
      </c>
      <c r="W40" s="14"/>
      <c r="X40" s="12"/>
      <c r="Y40" s="12"/>
      <c r="Z40" s="12"/>
      <c r="AA40" s="12"/>
      <c r="AB40" s="12"/>
      <c r="AC40" s="12">
        <v>1</v>
      </c>
      <c r="AD40" s="12"/>
      <c r="AE40" s="12"/>
      <c r="AF40" s="12"/>
      <c r="AG40" s="12"/>
      <c r="AH40" s="12"/>
      <c r="AI40" s="12"/>
      <c r="AJ40" s="12"/>
      <c r="AK40" s="12"/>
      <c r="AL40" s="12"/>
      <c r="AM40" s="16"/>
    </row>
    <row r="41" spans="1:39" ht="25.05" customHeight="1">
      <c r="B41" s="15"/>
      <c r="C41" s="35"/>
      <c r="D41" s="23"/>
      <c r="E41" s="19" t="s">
        <v>257</v>
      </c>
      <c r="F41" s="9"/>
      <c r="G41" s="10">
        <v>0.59305555555555556</v>
      </c>
      <c r="H41" s="10">
        <v>0.59311342592592597</v>
      </c>
      <c r="I41" s="11">
        <f t="shared" si="8"/>
        <v>5.7870370370416424E-5</v>
      </c>
      <c r="J41" s="12">
        <v>4</v>
      </c>
      <c r="K41" s="12">
        <v>14.49</v>
      </c>
      <c r="L41" s="13">
        <f t="shared" si="9"/>
        <v>2608.1999999979244</v>
      </c>
      <c r="M41" s="12"/>
      <c r="N41" s="12"/>
      <c r="O41" s="12"/>
      <c r="P41" s="12"/>
      <c r="Q41" s="12"/>
      <c r="R41" s="14"/>
      <c r="S41" s="14"/>
      <c r="T41" s="12"/>
      <c r="U41" s="12"/>
      <c r="V41" s="14">
        <v>2</v>
      </c>
      <c r="W41" s="14"/>
      <c r="X41" s="12"/>
      <c r="Y41" s="12"/>
      <c r="Z41" s="12"/>
      <c r="AA41" s="12"/>
      <c r="AB41" s="12"/>
      <c r="AC41" s="12">
        <v>1</v>
      </c>
      <c r="AD41" s="12"/>
      <c r="AE41" s="12"/>
      <c r="AF41" s="12"/>
      <c r="AG41" s="12"/>
      <c r="AH41" s="12"/>
      <c r="AI41" s="12"/>
      <c r="AJ41" s="12"/>
      <c r="AK41" s="12"/>
      <c r="AL41" s="12"/>
      <c r="AM41" s="16"/>
    </row>
    <row r="42" spans="1:39" ht="25.05" customHeight="1">
      <c r="B42" s="15"/>
      <c r="C42" s="35"/>
      <c r="D42" s="23"/>
      <c r="E42" s="19" t="s">
        <v>258</v>
      </c>
      <c r="F42" s="9"/>
      <c r="G42" s="10">
        <v>0.59375</v>
      </c>
      <c r="H42" s="10">
        <v>0.59375</v>
      </c>
      <c r="I42" s="11">
        <f t="shared" si="8"/>
        <v>0</v>
      </c>
      <c r="J42" s="12">
        <v>4</v>
      </c>
      <c r="K42" s="12">
        <v>14.9</v>
      </c>
      <c r="L42" s="13" t="str">
        <f t="shared" si="9"/>
        <v>0</v>
      </c>
      <c r="M42" s="12"/>
      <c r="N42" s="12"/>
      <c r="O42" s="12"/>
      <c r="P42" s="12"/>
      <c r="Q42" s="12"/>
      <c r="R42" s="14"/>
      <c r="S42" s="14"/>
      <c r="T42" s="12"/>
      <c r="U42" s="12"/>
      <c r="V42" s="14">
        <v>2</v>
      </c>
      <c r="W42" s="14"/>
      <c r="X42" s="12"/>
      <c r="Y42" s="12"/>
      <c r="Z42" s="12"/>
      <c r="AA42" s="12"/>
      <c r="AB42" s="12"/>
      <c r="AC42" s="12">
        <v>1</v>
      </c>
      <c r="AD42" s="12"/>
      <c r="AE42" s="12"/>
      <c r="AF42" s="12"/>
      <c r="AG42" s="12"/>
      <c r="AH42" s="12"/>
      <c r="AI42" s="12"/>
      <c r="AJ42" s="12"/>
      <c r="AK42" s="12"/>
      <c r="AL42" s="12"/>
      <c r="AM42" s="16"/>
    </row>
    <row r="43" spans="1:39" ht="25.05" customHeight="1">
      <c r="B43" s="15"/>
      <c r="C43" s="35"/>
      <c r="D43" s="23"/>
      <c r="E43" s="19" t="s">
        <v>259</v>
      </c>
      <c r="F43" s="9"/>
      <c r="G43" s="10">
        <v>0.59444444444444444</v>
      </c>
      <c r="H43" s="10">
        <v>0.59450231481481486</v>
      </c>
      <c r="I43" s="11">
        <f t="shared" si="8"/>
        <v>5.7870370370416424E-5</v>
      </c>
      <c r="J43" s="12">
        <v>4</v>
      </c>
      <c r="K43" s="12">
        <v>15.14</v>
      </c>
      <c r="L43" s="13">
        <f t="shared" si="9"/>
        <v>2725.1999999978311</v>
      </c>
      <c r="M43" s="12"/>
      <c r="N43" s="12"/>
      <c r="O43" s="12"/>
      <c r="P43" s="12"/>
      <c r="Q43" s="12"/>
      <c r="R43" s="14"/>
      <c r="S43" s="14"/>
      <c r="T43" s="12"/>
      <c r="U43" s="12"/>
      <c r="V43" s="14">
        <v>2</v>
      </c>
      <c r="W43" s="14"/>
      <c r="X43" s="12"/>
      <c r="Y43" s="12"/>
      <c r="Z43" s="12"/>
      <c r="AA43" s="12"/>
      <c r="AB43" s="12"/>
      <c r="AC43" s="12">
        <v>1</v>
      </c>
      <c r="AD43" s="12"/>
      <c r="AE43" s="12"/>
      <c r="AF43" s="12"/>
      <c r="AG43" s="12"/>
      <c r="AH43" s="12"/>
      <c r="AI43" s="12"/>
      <c r="AJ43" s="12"/>
      <c r="AK43" s="12"/>
      <c r="AL43" s="12"/>
      <c r="AM43" s="16"/>
    </row>
    <row r="44" spans="1:39" ht="25.05" customHeight="1">
      <c r="B44" s="15"/>
      <c r="C44" s="35"/>
      <c r="D44" s="23"/>
      <c r="E44" s="19" t="s">
        <v>260</v>
      </c>
      <c r="F44" s="9"/>
      <c r="G44" s="10">
        <v>0.6</v>
      </c>
      <c r="H44" s="10">
        <v>0.60005787037037039</v>
      </c>
      <c r="I44" s="11">
        <f t="shared" si="8"/>
        <v>5.7870370370416424E-5</v>
      </c>
      <c r="J44" s="12">
        <v>4</v>
      </c>
      <c r="K44" s="12">
        <v>14.3</v>
      </c>
      <c r="L44" s="13">
        <f t="shared" si="9"/>
        <v>2573.9999999979518</v>
      </c>
      <c r="M44" s="12"/>
      <c r="N44" s="12"/>
      <c r="O44" s="12"/>
      <c r="P44" s="12"/>
      <c r="Q44" s="12"/>
      <c r="R44" s="14"/>
      <c r="S44" s="14"/>
      <c r="T44" s="12"/>
      <c r="U44" s="12"/>
      <c r="V44" s="14">
        <v>2</v>
      </c>
      <c r="W44" s="14"/>
      <c r="X44" s="12"/>
      <c r="Y44" s="12"/>
      <c r="Z44" s="12"/>
      <c r="AA44" s="12"/>
      <c r="AB44" s="12"/>
      <c r="AC44" s="12">
        <v>1</v>
      </c>
      <c r="AD44" s="12"/>
      <c r="AE44" s="12"/>
      <c r="AF44" s="12"/>
      <c r="AG44" s="12"/>
      <c r="AH44" s="12"/>
      <c r="AI44" s="12"/>
      <c r="AJ44" s="12"/>
      <c r="AK44" s="12"/>
      <c r="AL44" s="12"/>
      <c r="AM44" s="16"/>
    </row>
    <row r="45" spans="1:39" ht="25.05" customHeight="1">
      <c r="B45" s="15"/>
      <c r="C45" s="35"/>
      <c r="D45" s="23"/>
      <c r="E45" s="19" t="s">
        <v>261</v>
      </c>
      <c r="F45" s="9"/>
      <c r="G45" s="10">
        <v>0.60069444444444442</v>
      </c>
      <c r="H45" s="10">
        <v>0.60075231481481484</v>
      </c>
      <c r="I45" s="11">
        <f t="shared" si="8"/>
        <v>5.7870370370416424E-5</v>
      </c>
      <c r="J45" s="12">
        <v>4</v>
      </c>
      <c r="K45" s="12">
        <v>18.77</v>
      </c>
      <c r="L45" s="13">
        <f t="shared" si="9"/>
        <v>3378.5999999973114</v>
      </c>
      <c r="M45" s="12"/>
      <c r="N45" s="12"/>
      <c r="O45" s="12"/>
      <c r="P45" s="12"/>
      <c r="Q45" s="12"/>
      <c r="R45" s="14"/>
      <c r="S45" s="14"/>
      <c r="T45" s="12"/>
      <c r="U45" s="12"/>
      <c r="V45" s="14">
        <v>2</v>
      </c>
      <c r="W45" s="14"/>
      <c r="X45" s="12"/>
      <c r="Y45" s="12"/>
      <c r="Z45" s="12"/>
      <c r="AA45" s="12"/>
      <c r="AB45" s="12"/>
      <c r="AC45" s="12">
        <v>1</v>
      </c>
      <c r="AD45" s="12"/>
      <c r="AE45" s="12"/>
      <c r="AF45" s="12"/>
      <c r="AG45" s="12"/>
      <c r="AH45" s="12"/>
      <c r="AI45" s="12"/>
      <c r="AJ45" s="12"/>
      <c r="AK45" s="12"/>
      <c r="AL45" s="12"/>
      <c r="AM45" s="16"/>
    </row>
    <row r="46" spans="1:39" ht="25.05" customHeight="1">
      <c r="B46" s="15"/>
      <c r="C46" s="35"/>
      <c r="D46" s="23"/>
      <c r="E46" s="19" t="s">
        <v>262</v>
      </c>
      <c r="F46" s="9"/>
      <c r="G46" s="10">
        <v>0.61250000000000004</v>
      </c>
      <c r="H46" s="10">
        <v>0.61255787037037035</v>
      </c>
      <c r="I46" s="11">
        <f t="shared" si="8"/>
        <v>5.7870370370305402E-5</v>
      </c>
      <c r="J46" s="12">
        <v>4</v>
      </c>
      <c r="K46" s="12">
        <v>15.25</v>
      </c>
      <c r="L46" s="13">
        <f t="shared" si="9"/>
        <v>2745.0000000030818</v>
      </c>
      <c r="M46" s="12"/>
      <c r="N46" s="12"/>
      <c r="O46" s="12"/>
      <c r="P46" s="12"/>
      <c r="Q46" s="12"/>
      <c r="R46" s="14"/>
      <c r="S46" s="14"/>
      <c r="T46" s="12"/>
      <c r="U46" s="12"/>
      <c r="V46" s="14">
        <v>2</v>
      </c>
      <c r="W46" s="14"/>
      <c r="X46" s="12"/>
      <c r="Y46" s="12"/>
      <c r="Z46" s="12"/>
      <c r="AA46" s="12"/>
      <c r="AB46" s="12"/>
      <c r="AC46" s="12">
        <v>1</v>
      </c>
      <c r="AD46" s="12"/>
      <c r="AE46" s="12"/>
      <c r="AF46" s="12"/>
      <c r="AG46" s="12"/>
      <c r="AH46" s="12"/>
      <c r="AI46" s="12"/>
      <c r="AJ46" s="12"/>
      <c r="AK46" s="12"/>
      <c r="AL46" s="12"/>
      <c r="AM46" s="16"/>
    </row>
    <row r="47" spans="1:39" ht="25.05" customHeight="1">
      <c r="B47" s="15"/>
      <c r="C47" s="35"/>
      <c r="D47" s="23"/>
      <c r="E47" s="19" t="s">
        <v>263</v>
      </c>
      <c r="F47" s="9"/>
      <c r="G47" s="10">
        <v>0.61319444444444449</v>
      </c>
      <c r="H47" s="10">
        <v>0.61325231481481479</v>
      </c>
      <c r="I47" s="11">
        <f t="shared" si="8"/>
        <v>5.7870370370305402E-5</v>
      </c>
      <c r="J47" s="12">
        <v>4</v>
      </c>
      <c r="K47" s="12">
        <v>15.23</v>
      </c>
      <c r="L47" s="13">
        <f t="shared" si="9"/>
        <v>2741.4000000030778</v>
      </c>
      <c r="M47" s="12"/>
      <c r="N47" s="12"/>
      <c r="O47" s="12"/>
      <c r="P47" s="12"/>
      <c r="Q47" s="12"/>
      <c r="R47" s="14"/>
      <c r="S47" s="14"/>
      <c r="T47" s="12"/>
      <c r="U47" s="12"/>
      <c r="V47" s="14">
        <v>2</v>
      </c>
      <c r="W47" s="14"/>
      <c r="X47" s="12"/>
      <c r="Y47" s="12"/>
      <c r="Z47" s="12"/>
      <c r="AA47" s="12"/>
      <c r="AB47" s="12"/>
      <c r="AC47" s="12">
        <v>1</v>
      </c>
      <c r="AD47" s="12"/>
      <c r="AE47" s="12"/>
      <c r="AF47" s="12"/>
      <c r="AG47" s="12"/>
      <c r="AH47" s="12"/>
      <c r="AI47" s="12"/>
      <c r="AJ47" s="12"/>
      <c r="AK47" s="12"/>
      <c r="AL47" s="12"/>
      <c r="AM47" s="16"/>
    </row>
    <row r="48" spans="1:39" ht="25.05" customHeight="1">
      <c r="B48" s="15"/>
      <c r="C48" s="35"/>
      <c r="D48" s="23"/>
      <c r="E48" s="19" t="s">
        <v>264</v>
      </c>
      <c r="F48" s="9"/>
      <c r="G48" s="10">
        <v>0.74513888888888891</v>
      </c>
      <c r="H48" s="10">
        <v>0.74513888888888891</v>
      </c>
      <c r="I48" s="11">
        <f t="shared" si="8"/>
        <v>0</v>
      </c>
      <c r="J48" s="12">
        <v>4</v>
      </c>
      <c r="K48" s="12">
        <v>15.32</v>
      </c>
      <c r="L48" s="13" t="str">
        <f t="shared" si="9"/>
        <v>0</v>
      </c>
      <c r="M48" s="12"/>
      <c r="N48" s="12"/>
      <c r="O48" s="12"/>
      <c r="P48" s="12"/>
      <c r="Q48" s="12"/>
      <c r="R48" s="14"/>
      <c r="S48" s="14"/>
      <c r="T48" s="12"/>
      <c r="U48" s="12"/>
      <c r="V48" s="14">
        <v>2</v>
      </c>
      <c r="W48" s="14"/>
      <c r="X48" s="12"/>
      <c r="Y48" s="12"/>
      <c r="Z48" s="12"/>
      <c r="AA48" s="12"/>
      <c r="AB48" s="12"/>
      <c r="AC48" s="12">
        <v>2</v>
      </c>
      <c r="AD48" s="12"/>
      <c r="AE48" s="12"/>
      <c r="AF48" s="12"/>
      <c r="AG48" s="12"/>
      <c r="AH48" s="12"/>
      <c r="AI48" s="12"/>
      <c r="AJ48" s="12"/>
      <c r="AK48" s="12"/>
      <c r="AL48" s="12"/>
      <c r="AM48" s="16"/>
    </row>
    <row r="49" spans="2:39" ht="25.05" customHeight="1">
      <c r="B49" s="15"/>
      <c r="C49" s="35"/>
      <c r="D49" s="23"/>
      <c r="E49" s="19" t="s">
        <v>151</v>
      </c>
      <c r="F49" s="9"/>
      <c r="G49" s="10">
        <v>0.36527777777777776</v>
      </c>
      <c r="H49" s="10">
        <v>0.3654513888888889</v>
      </c>
      <c r="I49" s="11">
        <f t="shared" si="8"/>
        <v>1.7361111111113825E-4</v>
      </c>
      <c r="J49" s="12">
        <v>4</v>
      </c>
      <c r="K49" s="12">
        <v>70.47</v>
      </c>
      <c r="L49" s="13">
        <f t="shared" si="9"/>
        <v>4228.1999999993395</v>
      </c>
      <c r="M49" s="12"/>
      <c r="N49" s="12"/>
      <c r="O49" s="12"/>
      <c r="P49" s="12"/>
      <c r="Q49" s="12"/>
      <c r="R49" s="14"/>
      <c r="S49" s="14"/>
      <c r="T49" s="12"/>
      <c r="U49" s="12"/>
      <c r="V49" s="14"/>
      <c r="W49" s="14">
        <v>2</v>
      </c>
      <c r="X49" s="12"/>
      <c r="Y49" s="12"/>
      <c r="Z49" s="12"/>
      <c r="AA49" s="12"/>
      <c r="AB49" s="12"/>
      <c r="AC49" s="12">
        <v>1</v>
      </c>
      <c r="AD49" s="12"/>
      <c r="AE49" s="12"/>
      <c r="AF49" s="12"/>
      <c r="AG49" s="12"/>
      <c r="AH49" s="12"/>
      <c r="AI49" s="12"/>
      <c r="AJ49" s="12"/>
      <c r="AK49" s="12"/>
      <c r="AL49" s="12"/>
      <c r="AM49" s="16"/>
    </row>
    <row r="50" spans="2:39" ht="25.05" customHeight="1">
      <c r="B50" s="15"/>
      <c r="C50" s="35"/>
      <c r="D50" s="23"/>
      <c r="E50" s="19" t="s">
        <v>152</v>
      </c>
      <c r="F50" s="9"/>
      <c r="G50" s="10">
        <v>0.48125000000000001</v>
      </c>
      <c r="H50" s="10">
        <v>0.48142361111111109</v>
      </c>
      <c r="I50" s="11">
        <f t="shared" si="8"/>
        <v>1.7361111111108274E-4</v>
      </c>
      <c r="J50" s="12">
        <v>4</v>
      </c>
      <c r="K50" s="12">
        <v>70.23</v>
      </c>
      <c r="L50" s="13">
        <f t="shared" si="9"/>
        <v>4213.8000000006887</v>
      </c>
      <c r="M50" s="12"/>
      <c r="N50" s="12"/>
      <c r="O50" s="12"/>
      <c r="P50" s="12"/>
      <c r="Q50" s="12"/>
      <c r="R50" s="14"/>
      <c r="S50" s="14"/>
      <c r="T50" s="12"/>
      <c r="U50" s="12"/>
      <c r="V50" s="14"/>
      <c r="W50" s="14">
        <v>2</v>
      </c>
      <c r="X50" s="12"/>
      <c r="Y50" s="12"/>
      <c r="Z50" s="12"/>
      <c r="AA50" s="12"/>
      <c r="AB50" s="12"/>
      <c r="AC50" s="12">
        <v>1</v>
      </c>
      <c r="AD50" s="12"/>
      <c r="AE50" s="12"/>
      <c r="AF50" s="12"/>
      <c r="AG50" s="12"/>
      <c r="AH50" s="12"/>
      <c r="AI50" s="12"/>
      <c r="AJ50" s="12"/>
      <c r="AK50" s="12"/>
      <c r="AL50" s="12"/>
      <c r="AM50" s="16"/>
    </row>
    <row r="51" spans="2:39" ht="25.05" customHeight="1">
      <c r="B51" s="15"/>
      <c r="C51" s="35"/>
      <c r="D51" s="23"/>
      <c r="E51" s="19" t="s">
        <v>153</v>
      </c>
      <c r="F51" s="9"/>
      <c r="G51" s="10">
        <v>0.49861111111111112</v>
      </c>
      <c r="H51" s="10">
        <v>0.4987847222222222</v>
      </c>
      <c r="I51" s="11">
        <f t="shared" si="8"/>
        <v>1.7361111111108274E-4</v>
      </c>
      <c r="J51" s="12">
        <v>4</v>
      </c>
      <c r="K51" s="12">
        <v>14.69</v>
      </c>
      <c r="L51" s="13">
        <f t="shared" si="9"/>
        <v>881.4000000001439</v>
      </c>
      <c r="M51" s="12"/>
      <c r="N51" s="12"/>
      <c r="O51" s="12"/>
      <c r="P51" s="12"/>
      <c r="Q51" s="12"/>
      <c r="R51" s="14"/>
      <c r="S51" s="14"/>
      <c r="T51" s="12"/>
      <c r="U51" s="12"/>
      <c r="V51" s="14"/>
      <c r="W51" s="14">
        <v>2</v>
      </c>
      <c r="X51" s="12"/>
      <c r="Y51" s="12"/>
      <c r="Z51" s="12"/>
      <c r="AA51" s="12"/>
      <c r="AB51" s="12"/>
      <c r="AC51" s="12">
        <v>1</v>
      </c>
      <c r="AD51" s="12"/>
      <c r="AE51" s="12"/>
      <c r="AF51" s="12"/>
      <c r="AG51" s="12"/>
      <c r="AH51" s="12"/>
      <c r="AI51" s="12"/>
      <c r="AJ51" s="12"/>
      <c r="AK51" s="12"/>
      <c r="AL51" s="12"/>
      <c r="AM51" s="16"/>
    </row>
    <row r="52" spans="2:39" ht="25.05" customHeight="1">
      <c r="B52" s="15"/>
      <c r="C52" s="35"/>
      <c r="D52" s="23"/>
      <c r="E52" s="19" t="s">
        <v>154</v>
      </c>
      <c r="F52" s="9"/>
      <c r="G52" s="10">
        <v>0.62916666666666665</v>
      </c>
      <c r="H52" s="10">
        <v>0.62916666666666665</v>
      </c>
      <c r="I52" s="11">
        <f t="shared" si="8"/>
        <v>0</v>
      </c>
      <c r="J52" s="12">
        <v>4</v>
      </c>
      <c r="K52" s="12">
        <f>70.8+14.69</f>
        <v>85.49</v>
      </c>
      <c r="L52" s="13" t="str">
        <f t="shared" si="9"/>
        <v>0</v>
      </c>
      <c r="M52" s="12"/>
      <c r="N52" s="12"/>
      <c r="O52" s="12"/>
      <c r="P52" s="12"/>
      <c r="Q52" s="12"/>
      <c r="R52" s="14"/>
      <c r="S52" s="14"/>
      <c r="T52" s="12"/>
      <c r="U52" s="12"/>
      <c r="V52" s="14"/>
      <c r="W52" s="14">
        <v>2</v>
      </c>
      <c r="X52" s="12"/>
      <c r="Y52" s="12"/>
      <c r="Z52" s="12"/>
      <c r="AA52" s="12"/>
      <c r="AB52" s="12"/>
      <c r="AC52" s="12">
        <v>1</v>
      </c>
      <c r="AD52" s="12"/>
      <c r="AE52" s="12"/>
      <c r="AF52" s="12"/>
      <c r="AG52" s="12"/>
      <c r="AH52" s="12"/>
      <c r="AI52" s="12"/>
      <c r="AJ52" s="12"/>
      <c r="AK52" s="12"/>
      <c r="AL52" s="12"/>
      <c r="AM52" s="16"/>
    </row>
    <row r="53" spans="2:39" ht="25.05" customHeight="1">
      <c r="B53" s="15"/>
      <c r="C53" s="35"/>
      <c r="D53" s="23"/>
      <c r="E53" s="19" t="s">
        <v>155</v>
      </c>
      <c r="F53" s="9"/>
      <c r="G53" s="10">
        <v>0.63749999999999996</v>
      </c>
      <c r="H53" s="10">
        <v>0.63767361111111109</v>
      </c>
      <c r="I53" s="11">
        <f t="shared" si="8"/>
        <v>1.7361111111113825E-4</v>
      </c>
      <c r="J53" s="12">
        <v>4</v>
      </c>
      <c r="K53" s="12">
        <v>70.87</v>
      </c>
      <c r="L53" s="13">
        <f t="shared" si="9"/>
        <v>4252.1999999993359</v>
      </c>
      <c r="M53" s="12"/>
      <c r="N53" s="12"/>
      <c r="O53" s="12"/>
      <c r="P53" s="12"/>
      <c r="Q53" s="12"/>
      <c r="R53" s="14"/>
      <c r="S53" s="14"/>
      <c r="T53" s="12"/>
      <c r="U53" s="12"/>
      <c r="V53" s="14"/>
      <c r="W53" s="14">
        <v>2</v>
      </c>
      <c r="X53" s="12"/>
      <c r="Y53" s="12"/>
      <c r="Z53" s="12"/>
      <c r="AA53" s="12"/>
      <c r="AB53" s="12"/>
      <c r="AC53" s="12">
        <v>1</v>
      </c>
      <c r="AD53" s="12"/>
      <c r="AE53" s="12"/>
      <c r="AF53" s="12"/>
      <c r="AG53" s="12"/>
      <c r="AH53" s="12"/>
      <c r="AI53" s="12"/>
      <c r="AJ53" s="12"/>
      <c r="AK53" s="12"/>
      <c r="AL53" s="12"/>
      <c r="AM53" s="16"/>
    </row>
    <row r="54" spans="2:39" ht="25.05" customHeight="1">
      <c r="B54" s="15"/>
      <c r="C54" s="35"/>
      <c r="D54" s="23"/>
      <c r="E54" s="19" t="s">
        <v>265</v>
      </c>
      <c r="F54" s="9"/>
      <c r="G54" s="10">
        <v>0.64236111111111116</v>
      </c>
      <c r="H54" s="10">
        <v>0.64253472222222219</v>
      </c>
      <c r="I54" s="11">
        <f t="shared" si="8"/>
        <v>1.7361111111102723E-4</v>
      </c>
      <c r="J54" s="12">
        <v>4</v>
      </c>
      <c r="K54" s="12">
        <v>71.069999999999993</v>
      </c>
      <c r="L54" s="13">
        <f t="shared" si="9"/>
        <v>4264.2000000020598</v>
      </c>
      <c r="M54" s="12"/>
      <c r="N54" s="12"/>
      <c r="O54" s="12"/>
      <c r="P54" s="12"/>
      <c r="Q54" s="12"/>
      <c r="R54" s="14"/>
      <c r="S54" s="14"/>
      <c r="T54" s="12"/>
      <c r="U54" s="12"/>
      <c r="V54" s="14"/>
      <c r="W54" s="14">
        <v>2</v>
      </c>
      <c r="X54" s="12"/>
      <c r="Y54" s="12"/>
      <c r="Z54" s="12"/>
      <c r="AA54" s="12"/>
      <c r="AB54" s="12"/>
      <c r="AC54" s="12">
        <v>1</v>
      </c>
      <c r="AD54" s="12"/>
      <c r="AE54" s="12"/>
      <c r="AF54" s="12"/>
      <c r="AG54" s="12"/>
      <c r="AH54" s="12"/>
      <c r="AI54" s="12"/>
      <c r="AJ54" s="12"/>
      <c r="AK54" s="12"/>
      <c r="AL54" s="12"/>
      <c r="AM54" s="16"/>
    </row>
    <row r="55" spans="2:39" ht="25.05" customHeight="1">
      <c r="B55" s="15"/>
      <c r="C55" s="35"/>
      <c r="D55" s="23"/>
      <c r="E55" s="19" t="s">
        <v>266</v>
      </c>
      <c r="F55" s="9"/>
      <c r="G55" s="10">
        <v>0.65</v>
      </c>
      <c r="H55" s="10">
        <v>0.65017361111111116</v>
      </c>
      <c r="I55" s="11">
        <f t="shared" si="8"/>
        <v>1.7361111111113825E-4</v>
      </c>
      <c r="J55" s="12">
        <v>4</v>
      </c>
      <c r="K55" s="12">
        <v>74.19</v>
      </c>
      <c r="L55" s="13">
        <f t="shared" si="9"/>
        <v>4451.3999999993039</v>
      </c>
      <c r="M55" s="12"/>
      <c r="N55" s="12"/>
      <c r="O55" s="12"/>
      <c r="P55" s="12"/>
      <c r="Q55" s="12"/>
      <c r="R55" s="14"/>
      <c r="S55" s="14"/>
      <c r="T55" s="12"/>
      <c r="U55" s="12"/>
      <c r="V55" s="14"/>
      <c r="W55" s="14">
        <v>2</v>
      </c>
      <c r="X55" s="12"/>
      <c r="Y55" s="12"/>
      <c r="Z55" s="12"/>
      <c r="AA55" s="12"/>
      <c r="AB55" s="12"/>
      <c r="AC55" s="12">
        <v>1</v>
      </c>
      <c r="AD55" s="12"/>
      <c r="AE55" s="12"/>
      <c r="AF55" s="12"/>
      <c r="AG55" s="12"/>
      <c r="AH55" s="12"/>
      <c r="AI55" s="12"/>
      <c r="AJ55" s="12"/>
      <c r="AK55" s="12"/>
      <c r="AL55" s="12"/>
      <c r="AM55" s="16"/>
    </row>
    <row r="56" spans="2:39" ht="25.05" customHeight="1">
      <c r="B56" s="15"/>
      <c r="C56" s="35"/>
      <c r="D56" s="23"/>
      <c r="E56" s="19" t="s">
        <v>267</v>
      </c>
      <c r="F56" s="9"/>
      <c r="G56" s="10">
        <v>0.65763888888888888</v>
      </c>
      <c r="H56" s="10">
        <v>0.65781250000000002</v>
      </c>
      <c r="I56" s="11">
        <f t="shared" si="8"/>
        <v>1.7361111111113825E-4</v>
      </c>
      <c r="J56" s="12">
        <v>4</v>
      </c>
      <c r="K56" s="12">
        <v>72.56</v>
      </c>
      <c r="L56" s="13">
        <f t="shared" si="9"/>
        <v>4353.5999999993192</v>
      </c>
      <c r="M56" s="12"/>
      <c r="N56" s="12"/>
      <c r="O56" s="12"/>
      <c r="P56" s="12"/>
      <c r="Q56" s="12"/>
      <c r="R56" s="14"/>
      <c r="S56" s="14"/>
      <c r="T56" s="12"/>
      <c r="U56" s="12"/>
      <c r="V56" s="14"/>
      <c r="W56" s="14">
        <v>2</v>
      </c>
      <c r="X56" s="12"/>
      <c r="Y56" s="12"/>
      <c r="Z56" s="12"/>
      <c r="AA56" s="12"/>
      <c r="AB56" s="12"/>
      <c r="AC56" s="12">
        <v>1</v>
      </c>
      <c r="AD56" s="12"/>
      <c r="AE56" s="12"/>
      <c r="AF56" s="12"/>
      <c r="AG56" s="12"/>
      <c r="AH56" s="12"/>
      <c r="AI56" s="12"/>
      <c r="AJ56" s="12"/>
      <c r="AK56" s="12"/>
      <c r="AL56" s="12"/>
      <c r="AM56" s="16"/>
    </row>
    <row r="57" spans="2:39" ht="25.05" customHeight="1">
      <c r="B57" s="15"/>
      <c r="C57" s="35"/>
      <c r="D57" s="23"/>
      <c r="E57" s="19" t="s">
        <v>268</v>
      </c>
      <c r="F57" s="9"/>
      <c r="G57" s="10">
        <v>0.70902777777777781</v>
      </c>
      <c r="H57" s="10">
        <v>0.70902777777777781</v>
      </c>
      <c r="I57" s="11">
        <f t="shared" si="8"/>
        <v>0</v>
      </c>
      <c r="J57" s="12">
        <v>4</v>
      </c>
      <c r="K57" s="12">
        <v>73.55</v>
      </c>
      <c r="L57" s="13" t="str">
        <f>IFERROR(((K57/(J57*I57)/24)),"0")</f>
        <v>0</v>
      </c>
      <c r="M57" s="12"/>
      <c r="N57" s="12"/>
      <c r="O57" s="12"/>
      <c r="P57" s="12"/>
      <c r="Q57" s="12"/>
      <c r="R57" s="14"/>
      <c r="S57" s="14"/>
      <c r="T57" s="12"/>
      <c r="U57" s="12"/>
      <c r="V57" s="14"/>
      <c r="W57" s="14">
        <v>2</v>
      </c>
      <c r="X57" s="12"/>
      <c r="Y57" s="12"/>
      <c r="Z57" s="12"/>
      <c r="AA57" s="12"/>
      <c r="AB57" s="12"/>
      <c r="AC57" s="12">
        <v>1</v>
      </c>
      <c r="AD57" s="12"/>
      <c r="AE57" s="12"/>
      <c r="AF57" s="12"/>
      <c r="AG57" s="12"/>
      <c r="AH57" s="12"/>
      <c r="AI57" s="12"/>
      <c r="AJ57" s="12"/>
      <c r="AK57" s="12"/>
      <c r="AL57" s="12"/>
      <c r="AM57" s="16"/>
    </row>
    <row r="58" spans="2:39" ht="25.05" customHeight="1">
      <c r="B58" s="15"/>
      <c r="C58" s="35"/>
      <c r="D58" s="23"/>
      <c r="E58" s="19" t="s">
        <v>269</v>
      </c>
      <c r="F58" s="9"/>
      <c r="G58" s="10">
        <v>0.73055555555555551</v>
      </c>
      <c r="H58" s="10">
        <v>0.73055555555555551</v>
      </c>
      <c r="I58" s="11">
        <f t="shared" si="8"/>
        <v>0</v>
      </c>
      <c r="J58" s="12">
        <v>4</v>
      </c>
      <c r="K58" s="12">
        <v>73.430000000000007</v>
      </c>
      <c r="L58" s="13" t="str">
        <f t="shared" si="9"/>
        <v>0</v>
      </c>
      <c r="M58" s="12"/>
      <c r="N58" s="12"/>
      <c r="O58" s="12"/>
      <c r="P58" s="12"/>
      <c r="Q58" s="12"/>
      <c r="R58" s="14"/>
      <c r="S58" s="14"/>
      <c r="T58" s="12"/>
      <c r="U58" s="12"/>
      <c r="V58" s="14"/>
      <c r="W58" s="14">
        <v>2</v>
      </c>
      <c r="X58" s="12"/>
      <c r="Y58" s="12"/>
      <c r="Z58" s="12"/>
      <c r="AA58" s="12"/>
      <c r="AB58" s="12"/>
      <c r="AC58" s="12">
        <v>1</v>
      </c>
      <c r="AD58" s="12"/>
      <c r="AE58" s="12"/>
      <c r="AF58" s="12"/>
      <c r="AG58" s="12"/>
      <c r="AH58" s="12"/>
      <c r="AI58" s="12"/>
      <c r="AJ58" s="12"/>
      <c r="AK58" s="12"/>
      <c r="AL58" s="12"/>
      <c r="AM58" s="16"/>
    </row>
    <row r="59" spans="2:39" ht="25.05" customHeight="1">
      <c r="B59" s="15"/>
      <c r="C59" s="35"/>
      <c r="D59" s="23"/>
      <c r="E59" s="19" t="s">
        <v>270</v>
      </c>
      <c r="F59" s="9"/>
      <c r="G59" s="10">
        <v>0.73055555555555551</v>
      </c>
      <c r="H59" s="10">
        <v>0.73055555555555551</v>
      </c>
      <c r="I59" s="11">
        <f t="shared" si="8"/>
        <v>0</v>
      </c>
      <c r="J59" s="12">
        <v>4</v>
      </c>
      <c r="K59" s="12">
        <v>73.430000000000007</v>
      </c>
      <c r="L59" s="13" t="str">
        <f t="shared" si="9"/>
        <v>0</v>
      </c>
      <c r="M59" s="12"/>
      <c r="N59" s="12"/>
      <c r="O59" s="12"/>
      <c r="P59" s="12"/>
      <c r="Q59" s="12"/>
      <c r="R59" s="14"/>
      <c r="S59" s="14"/>
      <c r="T59" s="12"/>
      <c r="U59" s="12"/>
      <c r="V59" s="14"/>
      <c r="W59" s="14">
        <v>2</v>
      </c>
      <c r="X59" s="12"/>
      <c r="Y59" s="12"/>
      <c r="Z59" s="12"/>
      <c r="AA59" s="12"/>
      <c r="AB59" s="12"/>
      <c r="AC59" s="12">
        <v>1</v>
      </c>
      <c r="AD59" s="12"/>
      <c r="AE59" s="12"/>
      <c r="AF59" s="12"/>
      <c r="AG59" s="12"/>
      <c r="AH59" s="12"/>
      <c r="AI59" s="12"/>
      <c r="AJ59" s="12"/>
      <c r="AK59" s="12"/>
      <c r="AL59" s="12"/>
      <c r="AM59" s="16"/>
    </row>
    <row r="60" spans="2:39" ht="25.05" customHeight="1">
      <c r="B60" s="15"/>
      <c r="C60" s="35"/>
      <c r="D60" s="23"/>
      <c r="E60" s="19" t="s">
        <v>271</v>
      </c>
      <c r="F60" s="9"/>
      <c r="G60" s="10">
        <v>0.73819444444444449</v>
      </c>
      <c r="H60" s="10">
        <v>0.73819444444444449</v>
      </c>
      <c r="I60" s="11">
        <f t="shared" si="8"/>
        <v>0</v>
      </c>
      <c r="J60" s="12">
        <v>4</v>
      </c>
      <c r="K60" s="12">
        <v>76.36</v>
      </c>
      <c r="L60" s="13" t="str">
        <f t="shared" si="9"/>
        <v>0</v>
      </c>
      <c r="M60" s="12"/>
      <c r="N60" s="12"/>
      <c r="O60" s="12"/>
      <c r="P60" s="12"/>
      <c r="Q60" s="12"/>
      <c r="R60" s="14"/>
      <c r="S60" s="14"/>
      <c r="T60" s="12"/>
      <c r="U60" s="12"/>
      <c r="V60" s="14"/>
      <c r="W60" s="14">
        <v>2</v>
      </c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6"/>
    </row>
    <row r="61" spans="2:39" ht="25.05" customHeight="1">
      <c r="B61" s="15"/>
      <c r="C61" s="35"/>
      <c r="D61" s="23"/>
      <c r="E61" s="19" t="s">
        <v>272</v>
      </c>
      <c r="F61" s="9"/>
      <c r="G61" s="10">
        <v>0.3611111111111111</v>
      </c>
      <c r="H61" s="10">
        <v>0.36666666666666664</v>
      </c>
      <c r="I61" s="11">
        <f t="shared" si="8"/>
        <v>5.5555555555555358E-3</v>
      </c>
      <c r="J61" s="12">
        <v>4</v>
      </c>
      <c r="K61" s="12">
        <v>69.17</v>
      </c>
      <c r="L61" s="13">
        <f t="shared" si="9"/>
        <v>129.69375000000045</v>
      </c>
      <c r="M61" s="12"/>
      <c r="N61" s="12"/>
      <c r="O61" s="12"/>
      <c r="P61" s="12"/>
      <c r="Q61" s="12"/>
      <c r="R61" s="14"/>
      <c r="S61" s="14"/>
      <c r="T61" s="12"/>
      <c r="U61" s="12"/>
      <c r="V61" s="14">
        <v>2</v>
      </c>
      <c r="W61" s="14"/>
      <c r="X61" s="12"/>
      <c r="Y61" s="12"/>
      <c r="Z61" s="12"/>
      <c r="AA61" s="12"/>
      <c r="AB61" s="12"/>
      <c r="AC61" s="12"/>
      <c r="AD61" s="12">
        <v>8</v>
      </c>
      <c r="AE61" s="12"/>
      <c r="AF61" s="12"/>
      <c r="AG61" s="12"/>
      <c r="AH61" s="12"/>
      <c r="AI61" s="12"/>
      <c r="AJ61" s="12"/>
      <c r="AK61" s="12"/>
      <c r="AL61" s="12"/>
      <c r="AM61" s="16"/>
    </row>
    <row r="62" spans="2:39" ht="25.05" customHeight="1">
      <c r="B62" s="15"/>
      <c r="C62" s="35"/>
      <c r="D62" s="23"/>
      <c r="E62" s="19" t="s">
        <v>273</v>
      </c>
      <c r="F62" s="9"/>
      <c r="G62" s="10">
        <v>0.37152777777777779</v>
      </c>
      <c r="H62" s="10">
        <v>0.375</v>
      </c>
      <c r="I62" s="11">
        <f t="shared" si="8"/>
        <v>3.4722222222222099E-3</v>
      </c>
      <c r="J62" s="12">
        <v>4</v>
      </c>
      <c r="K62" s="12">
        <v>67.680000000000007</v>
      </c>
      <c r="L62" s="13">
        <f t="shared" si="9"/>
        <v>203.04000000000076</v>
      </c>
      <c r="M62" s="12"/>
      <c r="N62" s="12"/>
      <c r="O62" s="12"/>
      <c r="P62" s="12"/>
      <c r="Q62" s="12"/>
      <c r="R62" s="14"/>
      <c r="S62" s="14"/>
      <c r="T62" s="12"/>
      <c r="U62" s="12"/>
      <c r="V62" s="14">
        <v>2</v>
      </c>
      <c r="W62" s="14"/>
      <c r="X62" s="12"/>
      <c r="Y62" s="12"/>
      <c r="Z62" s="12"/>
      <c r="AA62" s="12"/>
      <c r="AB62" s="12"/>
      <c r="AC62" s="12"/>
      <c r="AD62" s="12">
        <v>5</v>
      </c>
      <c r="AE62" s="12"/>
      <c r="AF62" s="12"/>
      <c r="AG62" s="12"/>
      <c r="AH62" s="12"/>
      <c r="AI62" s="12"/>
      <c r="AJ62" s="12"/>
      <c r="AK62" s="12"/>
      <c r="AL62" s="12"/>
      <c r="AM62" s="16"/>
    </row>
    <row r="63" spans="2:39" ht="25.05" customHeight="1">
      <c r="B63" s="15"/>
      <c r="C63" s="35"/>
      <c r="D63" s="23"/>
      <c r="E63" s="19" t="s">
        <v>274</v>
      </c>
      <c r="F63" s="9"/>
      <c r="G63" s="10">
        <v>0.42638888888888887</v>
      </c>
      <c r="H63" s="10">
        <v>0.42986111111111114</v>
      </c>
      <c r="I63" s="11">
        <f t="shared" si="8"/>
        <v>3.4722222222222654E-3</v>
      </c>
      <c r="J63" s="12">
        <v>4</v>
      </c>
      <c r="K63" s="12">
        <v>71.150000000000006</v>
      </c>
      <c r="L63" s="13">
        <f t="shared" si="9"/>
        <v>213.44999999999735</v>
      </c>
      <c r="M63" s="12"/>
      <c r="N63" s="12"/>
      <c r="O63" s="12"/>
      <c r="P63" s="12"/>
      <c r="Q63" s="12"/>
      <c r="R63" s="14"/>
      <c r="S63" s="14"/>
      <c r="T63" s="12"/>
      <c r="U63" s="12"/>
      <c r="V63" s="14">
        <v>2</v>
      </c>
      <c r="W63" s="14"/>
      <c r="X63" s="12"/>
      <c r="Y63" s="12"/>
      <c r="Z63" s="12"/>
      <c r="AA63" s="12"/>
      <c r="AB63" s="12"/>
      <c r="AC63" s="12"/>
      <c r="AD63" s="12">
        <v>5</v>
      </c>
      <c r="AE63" s="12"/>
      <c r="AF63" s="12"/>
      <c r="AG63" s="12"/>
      <c r="AH63" s="12"/>
      <c r="AI63" s="12"/>
      <c r="AJ63" s="12"/>
      <c r="AK63" s="12"/>
      <c r="AL63" s="12"/>
      <c r="AM63" s="16"/>
    </row>
    <row r="64" spans="2:39" ht="25.05" customHeight="1">
      <c r="B64" s="15"/>
      <c r="C64" s="35"/>
      <c r="D64" s="23"/>
      <c r="E64" s="19" t="s">
        <v>275</v>
      </c>
      <c r="F64" s="9"/>
      <c r="G64" s="10">
        <v>0.49583333333333335</v>
      </c>
      <c r="H64" s="10">
        <v>0.51666666666666672</v>
      </c>
      <c r="I64" s="11">
        <f t="shared" si="8"/>
        <v>2.083333333333337E-2</v>
      </c>
      <c r="J64" s="12">
        <v>4</v>
      </c>
      <c r="K64" s="12">
        <v>63.42</v>
      </c>
      <c r="L64" s="13">
        <f t="shared" si="9"/>
        <v>31.709999999999948</v>
      </c>
      <c r="M64" s="12"/>
      <c r="N64" s="12"/>
      <c r="O64" s="12"/>
      <c r="P64" s="12"/>
      <c r="Q64" s="12"/>
      <c r="R64" s="14"/>
      <c r="S64" s="14"/>
      <c r="T64" s="12"/>
      <c r="U64" s="12"/>
      <c r="V64" s="14">
        <v>2</v>
      </c>
      <c r="W64" s="14"/>
      <c r="X64" s="12"/>
      <c r="Y64" s="12"/>
      <c r="Z64" s="12"/>
      <c r="AA64" s="12"/>
      <c r="AB64" s="12"/>
      <c r="AC64" s="12"/>
      <c r="AD64" s="12">
        <v>30</v>
      </c>
      <c r="AE64" s="12"/>
      <c r="AF64" s="12"/>
      <c r="AG64" s="12"/>
      <c r="AH64" s="12"/>
      <c r="AI64" s="12"/>
      <c r="AJ64" s="12"/>
      <c r="AK64" s="12"/>
      <c r="AL64" s="12"/>
      <c r="AM64" s="16"/>
    </row>
    <row r="65" spans="2:39" ht="25.05" customHeight="1">
      <c r="B65" s="15"/>
      <c r="C65" s="35"/>
      <c r="D65" s="23"/>
      <c r="E65" s="19" t="s">
        <v>276</v>
      </c>
      <c r="F65" s="9"/>
      <c r="G65" s="10">
        <v>0.57291666666666663</v>
      </c>
      <c r="H65" s="10">
        <v>0.57847222222222228</v>
      </c>
      <c r="I65" s="11">
        <f t="shared" si="8"/>
        <v>5.5555555555556468E-3</v>
      </c>
      <c r="J65" s="12">
        <v>4</v>
      </c>
      <c r="K65" s="12">
        <v>65.72</v>
      </c>
      <c r="L65" s="13">
        <f t="shared" si="9"/>
        <v>123.22499999999798</v>
      </c>
      <c r="M65" s="12"/>
      <c r="N65" s="12"/>
      <c r="O65" s="12"/>
      <c r="P65" s="12"/>
      <c r="Q65" s="12"/>
      <c r="R65" s="14"/>
      <c r="S65" s="14"/>
      <c r="T65" s="12"/>
      <c r="U65" s="12"/>
      <c r="V65" s="14">
        <v>2</v>
      </c>
      <c r="W65" s="14"/>
      <c r="X65" s="12"/>
      <c r="Y65" s="12"/>
      <c r="Z65" s="12"/>
      <c r="AA65" s="12"/>
      <c r="AB65" s="12"/>
      <c r="AC65" s="12"/>
      <c r="AD65" s="12">
        <v>8</v>
      </c>
      <c r="AE65" s="12"/>
      <c r="AF65" s="12"/>
      <c r="AG65" s="12"/>
      <c r="AH65" s="12"/>
      <c r="AI65" s="12"/>
      <c r="AJ65" s="12"/>
      <c r="AK65" s="12"/>
      <c r="AL65" s="12"/>
      <c r="AM65" s="16"/>
    </row>
    <row r="66" spans="2:39" ht="25.05" customHeight="1">
      <c r="B66" s="15"/>
      <c r="C66" s="35"/>
      <c r="D66" s="23"/>
      <c r="E66" s="19" t="s">
        <v>277</v>
      </c>
      <c r="F66" s="9"/>
      <c r="G66" s="10">
        <v>0.58472222222222225</v>
      </c>
      <c r="H66" s="10">
        <v>0.58958333333333335</v>
      </c>
      <c r="I66" s="11">
        <f t="shared" si="8"/>
        <v>4.8611111111110938E-3</v>
      </c>
      <c r="J66" s="12">
        <v>4</v>
      </c>
      <c r="K66" s="12">
        <v>69.61</v>
      </c>
      <c r="L66" s="13">
        <f t="shared" si="9"/>
        <v>149.16428571428625</v>
      </c>
      <c r="M66" s="12"/>
      <c r="N66" s="12"/>
      <c r="O66" s="12"/>
      <c r="P66" s="12"/>
      <c r="Q66" s="12"/>
      <c r="R66" s="14"/>
      <c r="S66" s="14"/>
      <c r="T66" s="12"/>
      <c r="U66" s="12"/>
      <c r="V66" s="14">
        <v>2</v>
      </c>
      <c r="W66" s="14"/>
      <c r="X66" s="12"/>
      <c r="Y66" s="12"/>
      <c r="Z66" s="12"/>
      <c r="AA66" s="12"/>
      <c r="AB66" s="12"/>
      <c r="AC66" s="12"/>
      <c r="AD66" s="12">
        <v>7</v>
      </c>
      <c r="AE66" s="12"/>
      <c r="AF66" s="12"/>
      <c r="AG66" s="12"/>
      <c r="AH66" s="12"/>
      <c r="AI66" s="12"/>
      <c r="AJ66" s="12"/>
      <c r="AK66" s="12"/>
      <c r="AL66" s="12"/>
      <c r="AM66" s="16"/>
    </row>
    <row r="67" spans="2:39" ht="25.05" customHeight="1">
      <c r="B67" s="15"/>
      <c r="C67" s="35"/>
      <c r="D67" s="23"/>
      <c r="E67" s="19" t="s">
        <v>278</v>
      </c>
      <c r="F67" s="9"/>
      <c r="G67" s="10">
        <v>0.66527777777777775</v>
      </c>
      <c r="H67" s="10">
        <v>0.6694444444444444</v>
      </c>
      <c r="I67" s="11">
        <f t="shared" si="8"/>
        <v>4.1666666666666519E-3</v>
      </c>
      <c r="J67" s="12">
        <v>4</v>
      </c>
      <c r="K67" s="12">
        <v>75.02</v>
      </c>
      <c r="L67" s="13">
        <f t="shared" si="9"/>
        <v>187.55000000000067</v>
      </c>
      <c r="M67" s="12"/>
      <c r="N67" s="12"/>
      <c r="O67" s="12"/>
      <c r="P67" s="12"/>
      <c r="Q67" s="12"/>
      <c r="R67" s="14"/>
      <c r="S67" s="14"/>
      <c r="T67" s="12"/>
      <c r="U67" s="12"/>
      <c r="V67" s="14">
        <v>2</v>
      </c>
      <c r="W67" s="14"/>
      <c r="X67" s="12"/>
      <c r="Y67" s="12"/>
      <c r="Z67" s="12"/>
      <c r="AA67" s="12"/>
      <c r="AB67" s="12"/>
      <c r="AC67" s="12"/>
      <c r="AD67" s="12">
        <v>6</v>
      </c>
      <c r="AE67" s="12"/>
      <c r="AF67" s="12"/>
      <c r="AG67" s="12"/>
      <c r="AH67" s="12"/>
      <c r="AI67" s="12"/>
      <c r="AJ67" s="12"/>
      <c r="AK67" s="12"/>
      <c r="AL67" s="12"/>
      <c r="AM67" s="16"/>
    </row>
    <row r="68" spans="2:39" ht="25.05" customHeight="1">
      <c r="B68" s="15"/>
      <c r="C68" s="35"/>
      <c r="D68" s="23"/>
      <c r="E68" s="19" t="s">
        <v>279</v>
      </c>
      <c r="F68" s="9"/>
      <c r="G68" s="10">
        <v>0.68541666666666667</v>
      </c>
      <c r="H68" s="10">
        <v>0.68819444444444444</v>
      </c>
      <c r="I68" s="11">
        <f t="shared" si="8"/>
        <v>2.7777777777777679E-3</v>
      </c>
      <c r="J68" s="12">
        <v>4</v>
      </c>
      <c r="K68" s="12">
        <v>66.94</v>
      </c>
      <c r="L68" s="13">
        <f t="shared" si="9"/>
        <v>251.02500000000089</v>
      </c>
      <c r="M68" s="12"/>
      <c r="N68" s="12"/>
      <c r="O68" s="12"/>
      <c r="P68" s="12"/>
      <c r="Q68" s="12"/>
      <c r="R68" s="14"/>
      <c r="S68" s="14"/>
      <c r="T68" s="12"/>
      <c r="U68" s="12"/>
      <c r="V68" s="14">
        <v>2</v>
      </c>
      <c r="W68" s="14"/>
      <c r="X68" s="12"/>
      <c r="Y68" s="12"/>
      <c r="Z68" s="12"/>
      <c r="AA68" s="12"/>
      <c r="AB68" s="12"/>
      <c r="AC68" s="12"/>
      <c r="AD68" s="12">
        <v>4</v>
      </c>
      <c r="AE68" s="12"/>
      <c r="AF68" s="12"/>
      <c r="AG68" s="12"/>
      <c r="AH68" s="12"/>
      <c r="AI68" s="12"/>
      <c r="AJ68" s="12"/>
      <c r="AK68" s="12"/>
      <c r="AL68" s="12"/>
      <c r="AM68" s="16"/>
    </row>
    <row r="69" spans="2:39" ht="25.05" customHeight="1">
      <c r="B69" s="15"/>
      <c r="C69" s="35"/>
      <c r="D69" s="23"/>
      <c r="E69" s="19" t="s">
        <v>280</v>
      </c>
      <c r="F69" s="9"/>
      <c r="G69" s="10">
        <v>0.69444444444444442</v>
      </c>
      <c r="H69" s="10">
        <v>0.69722222222222219</v>
      </c>
      <c r="I69" s="11">
        <f t="shared" si="8"/>
        <v>2.7777777777777679E-3</v>
      </c>
      <c r="J69" s="12">
        <v>4</v>
      </c>
      <c r="K69" s="12">
        <v>66.56</v>
      </c>
      <c r="L69" s="13">
        <f t="shared" si="9"/>
        <v>249.6000000000009</v>
      </c>
      <c r="M69" s="12"/>
      <c r="N69" s="12"/>
      <c r="O69" s="12"/>
      <c r="P69" s="12"/>
      <c r="Q69" s="12"/>
      <c r="R69" s="14"/>
      <c r="S69" s="14"/>
      <c r="T69" s="12"/>
      <c r="U69" s="12"/>
      <c r="V69" s="14">
        <v>2</v>
      </c>
      <c r="W69" s="14"/>
      <c r="X69" s="12"/>
      <c r="Y69" s="12"/>
      <c r="Z69" s="12"/>
      <c r="AA69" s="12"/>
      <c r="AB69" s="12"/>
      <c r="AC69" s="12"/>
      <c r="AD69" s="12">
        <v>4</v>
      </c>
      <c r="AE69" s="12"/>
      <c r="AF69" s="12"/>
      <c r="AG69" s="12"/>
      <c r="AH69" s="12"/>
      <c r="AI69" s="12"/>
      <c r="AJ69" s="12"/>
      <c r="AK69" s="12"/>
      <c r="AL69" s="12"/>
      <c r="AM69" s="16"/>
    </row>
    <row r="70" spans="2:39" ht="25.05" customHeight="1">
      <c r="B70" s="15"/>
      <c r="C70" s="35"/>
      <c r="D70" s="23"/>
      <c r="E70" s="19" t="s">
        <v>281</v>
      </c>
      <c r="F70" s="9"/>
      <c r="G70" s="10">
        <v>0.70416666666666672</v>
      </c>
      <c r="H70" s="10">
        <v>0.70763888888888893</v>
      </c>
      <c r="I70" s="11">
        <f t="shared" si="8"/>
        <v>3.4722222222222099E-3</v>
      </c>
      <c r="J70" s="12">
        <v>4</v>
      </c>
      <c r="K70" s="12">
        <v>71.98</v>
      </c>
      <c r="L70" s="13">
        <f t="shared" si="9"/>
        <v>215.94000000000077</v>
      </c>
      <c r="M70" s="12"/>
      <c r="N70" s="12"/>
      <c r="O70" s="12"/>
      <c r="P70" s="12"/>
      <c r="Q70" s="12"/>
      <c r="R70" s="14"/>
      <c r="S70" s="14"/>
      <c r="T70" s="12"/>
      <c r="U70" s="12"/>
      <c r="V70" s="14">
        <v>2</v>
      </c>
      <c r="W70" s="14"/>
      <c r="X70" s="12"/>
      <c r="Y70" s="12"/>
      <c r="Z70" s="12"/>
      <c r="AA70" s="12"/>
      <c r="AB70" s="12"/>
      <c r="AC70" s="12"/>
      <c r="AD70" s="12">
        <v>5</v>
      </c>
      <c r="AE70" s="12"/>
      <c r="AF70" s="12"/>
      <c r="AG70" s="12"/>
      <c r="AH70" s="12"/>
      <c r="AI70" s="12"/>
      <c r="AJ70" s="12"/>
      <c r="AK70" s="12"/>
      <c r="AL70" s="12"/>
      <c r="AM70" s="16"/>
    </row>
    <row r="71" spans="2:39" ht="25.05" customHeight="1">
      <c r="B71" s="15"/>
      <c r="C71" s="35"/>
      <c r="D71" s="23"/>
      <c r="E71" s="19" t="s">
        <v>282</v>
      </c>
      <c r="F71" s="9"/>
      <c r="G71" s="10">
        <v>0.71319444444444446</v>
      </c>
      <c r="H71" s="10">
        <v>0.71597222222222223</v>
      </c>
      <c r="I71" s="11">
        <f t="shared" si="8"/>
        <v>2.7777777777777679E-3</v>
      </c>
      <c r="J71" s="12">
        <v>4</v>
      </c>
      <c r="K71" s="12">
        <v>74.38</v>
      </c>
      <c r="L71" s="13">
        <f t="shared" si="9"/>
        <v>278.92500000000098</v>
      </c>
      <c r="M71" s="12"/>
      <c r="N71" s="12"/>
      <c r="O71" s="12"/>
      <c r="P71" s="12"/>
      <c r="Q71" s="12"/>
      <c r="R71" s="14"/>
      <c r="S71" s="14"/>
      <c r="T71" s="12"/>
      <c r="U71" s="12"/>
      <c r="V71" s="14">
        <v>2</v>
      </c>
      <c r="W71" s="14"/>
      <c r="X71" s="12"/>
      <c r="Y71" s="12"/>
      <c r="Z71" s="12"/>
      <c r="AA71" s="12"/>
      <c r="AB71" s="12"/>
      <c r="AC71" s="12"/>
      <c r="AD71" s="12">
        <v>4</v>
      </c>
      <c r="AE71" s="12"/>
      <c r="AF71" s="12"/>
      <c r="AG71" s="12"/>
      <c r="AH71" s="12"/>
      <c r="AI71" s="12"/>
      <c r="AJ71" s="12"/>
      <c r="AK71" s="12"/>
      <c r="AL71" s="12"/>
      <c r="AM71" s="16"/>
    </row>
    <row r="72" spans="2:39" ht="25.05" customHeight="1">
      <c r="B72" s="15"/>
      <c r="C72" s="35"/>
      <c r="D72" s="23"/>
      <c r="E72" s="19" t="s">
        <v>283</v>
      </c>
      <c r="F72" s="9"/>
      <c r="G72" s="10">
        <v>0.7270833333333333</v>
      </c>
      <c r="H72" s="10">
        <v>0.72916666666666663</v>
      </c>
      <c r="I72" s="11">
        <f t="shared" si="8"/>
        <v>2.0833333333333259E-3</v>
      </c>
      <c r="J72" s="12">
        <v>4</v>
      </c>
      <c r="K72" s="12">
        <v>69.25</v>
      </c>
      <c r="L72" s="13">
        <f t="shared" si="9"/>
        <v>346.25000000000119</v>
      </c>
      <c r="M72" s="12"/>
      <c r="N72" s="12"/>
      <c r="O72" s="12"/>
      <c r="P72" s="12"/>
      <c r="Q72" s="12"/>
      <c r="R72" s="14"/>
      <c r="S72" s="14"/>
      <c r="T72" s="12"/>
      <c r="U72" s="12"/>
      <c r="V72" s="14">
        <v>2</v>
      </c>
      <c r="W72" s="14"/>
      <c r="X72" s="12"/>
      <c r="Y72" s="12"/>
      <c r="Z72" s="12"/>
      <c r="AA72" s="12"/>
      <c r="AB72" s="12"/>
      <c r="AC72" s="12"/>
      <c r="AD72" s="12">
        <v>3</v>
      </c>
      <c r="AE72" s="12"/>
      <c r="AF72" s="12"/>
      <c r="AG72" s="12"/>
      <c r="AH72" s="12"/>
      <c r="AI72" s="12"/>
      <c r="AJ72" s="12"/>
      <c r="AK72" s="12"/>
      <c r="AL72" s="12"/>
      <c r="AM72" s="16"/>
    </row>
    <row r="73" spans="2:39" ht="25.05" customHeight="1">
      <c r="B73" s="15"/>
      <c r="C73" s="35"/>
      <c r="D73" s="23"/>
      <c r="E73" s="19" t="s">
        <v>284</v>
      </c>
      <c r="F73" s="9"/>
      <c r="G73" s="10">
        <v>0.75069444444444444</v>
      </c>
      <c r="H73" s="10">
        <v>0.75347222222222221</v>
      </c>
      <c r="I73" s="11">
        <f t="shared" si="8"/>
        <v>2.7777777777777679E-3</v>
      </c>
      <c r="J73" s="12">
        <v>4</v>
      </c>
      <c r="K73" s="12">
        <v>70.680000000000007</v>
      </c>
      <c r="L73" s="13">
        <f t="shared" si="9"/>
        <v>265.05000000000098</v>
      </c>
      <c r="M73" s="12"/>
      <c r="N73" s="12"/>
      <c r="O73" s="12"/>
      <c r="P73" s="12"/>
      <c r="Q73" s="12"/>
      <c r="R73" s="14"/>
      <c r="S73" s="14"/>
      <c r="T73" s="12"/>
      <c r="U73" s="12"/>
      <c r="V73" s="14">
        <v>2</v>
      </c>
      <c r="W73" s="14"/>
      <c r="X73" s="12"/>
      <c r="Y73" s="12"/>
      <c r="Z73" s="12"/>
      <c r="AA73" s="12"/>
      <c r="AB73" s="12"/>
      <c r="AC73" s="12"/>
      <c r="AD73" s="12">
        <v>4</v>
      </c>
      <c r="AE73" s="12"/>
      <c r="AF73" s="12"/>
      <c r="AG73" s="12"/>
      <c r="AH73" s="12"/>
      <c r="AI73" s="12"/>
      <c r="AJ73" s="12"/>
      <c r="AK73" s="12"/>
      <c r="AL73" s="12"/>
      <c r="AM73" s="16"/>
    </row>
    <row r="74" spans="2:39" ht="25.05" customHeight="1">
      <c r="B74" s="15"/>
      <c r="C74" s="35"/>
      <c r="D74" s="23"/>
      <c r="E74" s="19" t="s">
        <v>285</v>
      </c>
      <c r="F74" s="9"/>
      <c r="G74" s="10">
        <v>0.75902777777777775</v>
      </c>
      <c r="H74" s="10">
        <v>0.76111111111111107</v>
      </c>
      <c r="I74" s="11">
        <f t="shared" si="8"/>
        <v>2.0833333333333259E-3</v>
      </c>
      <c r="J74" s="12">
        <v>4</v>
      </c>
      <c r="K74" s="12">
        <v>71.38</v>
      </c>
      <c r="L74" s="13">
        <f t="shared" si="9"/>
        <v>356.90000000000123</v>
      </c>
      <c r="M74" s="12"/>
      <c r="N74" s="12"/>
      <c r="O74" s="12"/>
      <c r="P74" s="12"/>
      <c r="Q74" s="12"/>
      <c r="R74" s="14"/>
      <c r="S74" s="14"/>
      <c r="T74" s="12"/>
      <c r="U74" s="12"/>
      <c r="V74" s="14">
        <v>2</v>
      </c>
      <c r="W74" s="14"/>
      <c r="X74" s="12"/>
      <c r="Y74" s="12"/>
      <c r="Z74" s="12"/>
      <c r="AA74" s="12"/>
      <c r="AB74" s="12"/>
      <c r="AC74" s="12"/>
      <c r="AD74" s="12">
        <v>4</v>
      </c>
      <c r="AE74" s="12"/>
      <c r="AF74" s="12"/>
      <c r="AG74" s="12"/>
      <c r="AH74" s="12"/>
      <c r="AI74" s="12"/>
      <c r="AJ74" s="12"/>
      <c r="AK74" s="12"/>
      <c r="AL74" s="12"/>
      <c r="AM74" s="16"/>
    </row>
    <row r="75" spans="2:39" ht="25.05" customHeight="1">
      <c r="B75" s="15"/>
      <c r="C75" s="35"/>
      <c r="D75" s="23"/>
      <c r="E75" s="19" t="s">
        <v>286</v>
      </c>
      <c r="F75" s="9"/>
      <c r="G75" s="10">
        <v>0.5708333333333333</v>
      </c>
      <c r="H75" s="10">
        <v>0.58194444444444449</v>
      </c>
      <c r="I75" s="11">
        <f t="shared" si="8"/>
        <v>1.1111111111111183E-2</v>
      </c>
      <c r="J75" s="12">
        <v>8</v>
      </c>
      <c r="K75" s="12">
        <v>133.44</v>
      </c>
      <c r="L75" s="13">
        <f t="shared" si="9"/>
        <v>62.549999999999592</v>
      </c>
      <c r="M75" s="12"/>
      <c r="N75" s="12"/>
      <c r="O75" s="12"/>
      <c r="P75" s="12"/>
      <c r="Q75" s="12"/>
      <c r="R75" s="14"/>
      <c r="S75" s="14"/>
      <c r="T75" s="12"/>
      <c r="U75" s="12"/>
      <c r="V75" s="14"/>
      <c r="W75" s="14">
        <v>2</v>
      </c>
      <c r="X75" s="12"/>
      <c r="Y75" s="12"/>
      <c r="Z75" s="12"/>
      <c r="AA75" s="12"/>
      <c r="AB75" s="12"/>
      <c r="AC75" s="12"/>
      <c r="AD75" s="12">
        <v>16</v>
      </c>
      <c r="AE75" s="12"/>
      <c r="AF75" s="12"/>
      <c r="AG75" s="12"/>
      <c r="AH75" s="12"/>
      <c r="AI75" s="12"/>
      <c r="AJ75" s="12"/>
      <c r="AK75" s="12"/>
      <c r="AL75" s="12"/>
      <c r="AM75" s="16"/>
    </row>
    <row r="76" spans="2:39" ht="25.05" customHeight="1">
      <c r="B76" s="15"/>
      <c r="C76" s="35"/>
      <c r="D76" s="23"/>
      <c r="E76" s="19" t="s">
        <v>287</v>
      </c>
      <c r="F76" s="9"/>
      <c r="G76" s="10">
        <v>0.58611111111111114</v>
      </c>
      <c r="H76" s="10">
        <v>0.59791666666666665</v>
      </c>
      <c r="I76" s="11">
        <f t="shared" si="8"/>
        <v>1.1805555555555514E-2</v>
      </c>
      <c r="J76" s="12">
        <v>8</v>
      </c>
      <c r="K76" s="12">
        <v>134.36000000000001</v>
      </c>
      <c r="L76" s="13">
        <f t="shared" si="9"/>
        <v>59.276470588235505</v>
      </c>
      <c r="M76" s="12"/>
      <c r="N76" s="12"/>
      <c r="O76" s="12"/>
      <c r="P76" s="12"/>
      <c r="Q76" s="12"/>
      <c r="R76" s="14"/>
      <c r="S76" s="14"/>
      <c r="T76" s="12"/>
      <c r="U76" s="12"/>
      <c r="V76" s="14"/>
      <c r="W76" s="14">
        <v>2</v>
      </c>
      <c r="X76" s="12"/>
      <c r="Y76" s="12"/>
      <c r="Z76" s="12"/>
      <c r="AA76" s="12"/>
      <c r="AB76" s="12"/>
      <c r="AC76" s="12"/>
      <c r="AD76" s="12">
        <v>17</v>
      </c>
      <c r="AE76" s="12"/>
      <c r="AF76" s="12"/>
      <c r="AG76" s="12"/>
      <c r="AH76" s="12"/>
      <c r="AI76" s="12"/>
      <c r="AJ76" s="12"/>
      <c r="AK76" s="12"/>
      <c r="AL76" s="12"/>
      <c r="AM76" s="16"/>
    </row>
    <row r="77" spans="2:39" ht="25.05" customHeight="1">
      <c r="B77" s="15"/>
      <c r="C77" s="35"/>
      <c r="D77" s="23"/>
      <c r="E77" s="19" t="s">
        <v>288</v>
      </c>
      <c r="F77" s="9"/>
      <c r="G77" s="10">
        <v>0.61597222222222225</v>
      </c>
      <c r="H77" s="10">
        <v>0.62569444444444444</v>
      </c>
      <c r="I77" s="11">
        <f t="shared" si="8"/>
        <v>9.7222222222221877E-3</v>
      </c>
      <c r="J77" s="12">
        <v>8</v>
      </c>
      <c r="K77" s="12">
        <v>135.38999999999999</v>
      </c>
      <c r="L77" s="13">
        <f t="shared" si="9"/>
        <v>72.530357142857397</v>
      </c>
      <c r="M77" s="12"/>
      <c r="N77" s="12"/>
      <c r="O77" s="12"/>
      <c r="P77" s="12"/>
      <c r="Q77" s="12"/>
      <c r="R77" s="14"/>
      <c r="S77" s="14"/>
      <c r="T77" s="12"/>
      <c r="U77" s="12"/>
      <c r="V77" s="14"/>
      <c r="W77" s="14">
        <v>2</v>
      </c>
      <c r="X77" s="12"/>
      <c r="Y77" s="12"/>
      <c r="Z77" s="12"/>
      <c r="AA77" s="12"/>
      <c r="AB77" s="12"/>
      <c r="AC77" s="12"/>
      <c r="AD77" s="12">
        <v>14</v>
      </c>
      <c r="AE77" s="12"/>
      <c r="AF77" s="12"/>
      <c r="AG77" s="12"/>
      <c r="AH77" s="12"/>
      <c r="AI77" s="12"/>
      <c r="AJ77" s="12"/>
      <c r="AK77" s="12"/>
      <c r="AL77" s="12"/>
      <c r="AM77" s="16"/>
    </row>
    <row r="78" spans="2:39" ht="25.05" customHeight="1">
      <c r="B78" s="15"/>
      <c r="C78" s="35"/>
      <c r="D78" s="23"/>
      <c r="E78" s="19" t="s">
        <v>289</v>
      </c>
      <c r="F78" s="9"/>
      <c r="G78" s="10">
        <v>0.62916666666666665</v>
      </c>
      <c r="H78" s="10">
        <v>0.63888888888888884</v>
      </c>
      <c r="I78" s="11">
        <f t="shared" si="8"/>
        <v>9.7222222222221877E-3</v>
      </c>
      <c r="J78" s="12">
        <v>8</v>
      </c>
      <c r="K78" s="12">
        <v>137.52000000000001</v>
      </c>
      <c r="L78" s="13">
        <f t="shared" si="9"/>
        <v>73.671428571428848</v>
      </c>
      <c r="M78" s="12"/>
      <c r="N78" s="12"/>
      <c r="O78" s="12"/>
      <c r="P78" s="12"/>
      <c r="Q78" s="12"/>
      <c r="R78" s="14"/>
      <c r="S78" s="14"/>
      <c r="T78" s="12"/>
      <c r="U78" s="12"/>
      <c r="V78" s="14"/>
      <c r="W78" s="14">
        <v>2</v>
      </c>
      <c r="X78" s="12"/>
      <c r="Y78" s="12"/>
      <c r="Z78" s="12"/>
      <c r="AA78" s="12"/>
      <c r="AB78" s="12"/>
      <c r="AC78" s="12"/>
      <c r="AD78" s="12">
        <v>14</v>
      </c>
      <c r="AE78" s="12"/>
      <c r="AF78" s="12"/>
      <c r="AG78" s="12"/>
      <c r="AH78" s="12"/>
      <c r="AI78" s="12"/>
      <c r="AJ78" s="12"/>
      <c r="AK78" s="12"/>
      <c r="AL78" s="12"/>
      <c r="AM78" s="16"/>
    </row>
    <row r="79" spans="2:39" ht="25.05" customHeight="1">
      <c r="B79" s="15"/>
      <c r="C79" s="35"/>
      <c r="D79" s="23"/>
      <c r="E79" s="19" t="s">
        <v>290</v>
      </c>
      <c r="F79" s="9"/>
      <c r="G79" s="10">
        <v>0.6430555555555556</v>
      </c>
      <c r="H79" s="10">
        <v>0.65277777777777779</v>
      </c>
      <c r="I79" s="11">
        <f t="shared" si="8"/>
        <v>9.7222222222221877E-3</v>
      </c>
      <c r="J79" s="12">
        <v>8</v>
      </c>
      <c r="K79" s="12">
        <v>136.76</v>
      </c>
      <c r="L79" s="13">
        <f t="shared" si="9"/>
        <v>73.264285714285975</v>
      </c>
      <c r="M79" s="12"/>
      <c r="N79" s="12"/>
      <c r="O79" s="12"/>
      <c r="P79" s="12"/>
      <c r="Q79" s="12"/>
      <c r="R79" s="14"/>
      <c r="S79" s="14"/>
      <c r="T79" s="12"/>
      <c r="U79" s="12"/>
      <c r="V79" s="14"/>
      <c r="W79" s="14">
        <v>2</v>
      </c>
      <c r="X79" s="12"/>
      <c r="Y79" s="12"/>
      <c r="Z79" s="12"/>
      <c r="AA79" s="12"/>
      <c r="AB79" s="12"/>
      <c r="AC79" s="12"/>
      <c r="AD79" s="12">
        <v>14</v>
      </c>
      <c r="AE79" s="12"/>
      <c r="AF79" s="12"/>
      <c r="AG79" s="12"/>
      <c r="AH79" s="12"/>
      <c r="AI79" s="12"/>
      <c r="AJ79" s="12"/>
      <c r="AK79" s="12"/>
      <c r="AL79" s="12"/>
      <c r="AM79" s="16"/>
    </row>
    <row r="80" spans="2:39" ht="25.05" customHeight="1">
      <c r="B80" s="15"/>
      <c r="C80" s="35"/>
      <c r="D80" s="23"/>
      <c r="E80" s="19" t="s">
        <v>291</v>
      </c>
      <c r="F80" s="9"/>
      <c r="G80" s="10">
        <v>0.70694444444444449</v>
      </c>
      <c r="H80" s="10">
        <v>0.71666666666666667</v>
      </c>
      <c r="I80" s="11">
        <f t="shared" si="8"/>
        <v>9.7222222222221877E-3</v>
      </c>
      <c r="J80" s="12">
        <v>8</v>
      </c>
      <c r="K80" s="12">
        <v>137.24</v>
      </c>
      <c r="L80" s="13">
        <f t="shared" si="9"/>
        <v>73.521428571428842</v>
      </c>
      <c r="M80" s="12"/>
      <c r="N80" s="12"/>
      <c r="O80" s="12"/>
      <c r="P80" s="12"/>
      <c r="Q80" s="12"/>
      <c r="R80" s="14"/>
      <c r="S80" s="14"/>
      <c r="T80" s="12"/>
      <c r="U80" s="12"/>
      <c r="V80" s="14"/>
      <c r="W80" s="14">
        <v>2</v>
      </c>
      <c r="X80" s="12"/>
      <c r="Y80" s="12"/>
      <c r="Z80" s="12"/>
      <c r="AA80" s="12"/>
      <c r="AB80" s="12"/>
      <c r="AC80" s="12"/>
      <c r="AD80" s="12">
        <v>14</v>
      </c>
      <c r="AE80" s="12"/>
      <c r="AF80" s="12"/>
      <c r="AG80" s="12"/>
      <c r="AH80" s="12"/>
      <c r="AI80" s="12"/>
      <c r="AJ80" s="12"/>
      <c r="AK80" s="12"/>
      <c r="AL80" s="12"/>
      <c r="AM80" s="16"/>
    </row>
    <row r="81" spans="2:39" ht="25.05" customHeight="1">
      <c r="B81" s="15"/>
      <c r="C81" s="35"/>
      <c r="D81" s="23"/>
      <c r="E81" s="19" t="s">
        <v>292</v>
      </c>
      <c r="F81" s="9"/>
      <c r="G81" s="10">
        <v>0.71875</v>
      </c>
      <c r="H81" s="10">
        <v>0.72847222222222219</v>
      </c>
      <c r="I81" s="11">
        <f t="shared" si="8"/>
        <v>9.7222222222221877E-3</v>
      </c>
      <c r="J81" s="12">
        <v>8</v>
      </c>
      <c r="K81" s="12">
        <v>133.62</v>
      </c>
      <c r="L81" s="13">
        <f t="shared" si="9"/>
        <v>71.582142857143111</v>
      </c>
      <c r="M81" s="12"/>
      <c r="N81" s="12"/>
      <c r="O81" s="12"/>
      <c r="P81" s="12"/>
      <c r="Q81" s="12"/>
      <c r="R81" s="14"/>
      <c r="S81" s="14"/>
      <c r="T81" s="12"/>
      <c r="U81" s="12"/>
      <c r="V81" s="14"/>
      <c r="W81" s="14">
        <v>2</v>
      </c>
      <c r="X81" s="12"/>
      <c r="Y81" s="12"/>
      <c r="Z81" s="12"/>
      <c r="AA81" s="12"/>
      <c r="AB81" s="12"/>
      <c r="AC81" s="12"/>
      <c r="AD81" s="12">
        <v>14</v>
      </c>
      <c r="AE81" s="12"/>
      <c r="AF81" s="12"/>
      <c r="AG81" s="12"/>
      <c r="AH81" s="12"/>
      <c r="AI81" s="12"/>
      <c r="AJ81" s="12"/>
      <c r="AK81" s="12"/>
      <c r="AL81" s="12"/>
      <c r="AM81" s="16"/>
    </row>
    <row r="82" spans="2:39" ht="25.05" customHeight="1">
      <c r="B82" s="15"/>
      <c r="C82" s="35"/>
      <c r="D82" s="23"/>
      <c r="E82" s="19" t="s">
        <v>293</v>
      </c>
      <c r="F82" s="9"/>
      <c r="G82" s="10">
        <v>0.73055555555555551</v>
      </c>
      <c r="H82" s="10">
        <v>0.7416666666666667</v>
      </c>
      <c r="I82" s="11">
        <f t="shared" si="8"/>
        <v>1.1111111111111183E-2</v>
      </c>
      <c r="J82" s="12">
        <v>8</v>
      </c>
      <c r="K82" s="12">
        <v>136.85</v>
      </c>
      <c r="L82" s="13">
        <f t="shared" si="9"/>
        <v>64.148437499999588</v>
      </c>
      <c r="M82" s="12"/>
      <c r="N82" s="12"/>
      <c r="O82" s="12"/>
      <c r="P82" s="12"/>
      <c r="Q82" s="12"/>
      <c r="R82" s="14"/>
      <c r="S82" s="14"/>
      <c r="T82" s="12"/>
      <c r="U82" s="12"/>
      <c r="V82" s="14"/>
      <c r="W82" s="14">
        <v>2</v>
      </c>
      <c r="X82" s="12"/>
      <c r="Y82" s="12"/>
      <c r="Z82" s="12"/>
      <c r="AA82" s="12"/>
      <c r="AB82" s="12"/>
      <c r="AC82" s="12"/>
      <c r="AD82" s="12">
        <v>16</v>
      </c>
      <c r="AE82" s="12"/>
      <c r="AF82" s="12"/>
      <c r="AG82" s="12"/>
      <c r="AH82" s="12"/>
      <c r="AI82" s="12"/>
      <c r="AJ82" s="12"/>
      <c r="AK82" s="12"/>
      <c r="AL82" s="12"/>
      <c r="AM82" s="16"/>
    </row>
    <row r="83" spans="2:39" ht="25.05" customHeight="1">
      <c r="B83" s="15"/>
      <c r="C83" s="35"/>
      <c r="D83" s="23"/>
      <c r="E83" s="19" t="s">
        <v>294</v>
      </c>
      <c r="F83" s="9"/>
      <c r="G83" s="10">
        <v>0.74375000000000002</v>
      </c>
      <c r="H83" s="10">
        <v>0.75416666666666665</v>
      </c>
      <c r="I83" s="11">
        <f t="shared" si="8"/>
        <v>1.041666666666663E-2</v>
      </c>
      <c r="J83" s="12">
        <v>8</v>
      </c>
      <c r="K83" s="12">
        <v>136.61000000000001</v>
      </c>
      <c r="L83" s="13">
        <f t="shared" si="9"/>
        <v>68.305000000000248</v>
      </c>
      <c r="M83" s="12"/>
      <c r="N83" s="12"/>
      <c r="O83" s="12"/>
      <c r="P83" s="12"/>
      <c r="Q83" s="12"/>
      <c r="R83" s="14"/>
      <c r="S83" s="14"/>
      <c r="T83" s="12"/>
      <c r="U83" s="12"/>
      <c r="V83" s="14"/>
      <c r="W83" s="14">
        <v>2</v>
      </c>
      <c r="X83" s="12"/>
      <c r="Y83" s="12"/>
      <c r="Z83" s="12"/>
      <c r="AA83" s="12"/>
      <c r="AB83" s="12"/>
      <c r="AC83" s="12"/>
      <c r="AD83" s="12">
        <v>15</v>
      </c>
      <c r="AE83" s="12"/>
      <c r="AF83" s="12"/>
      <c r="AG83" s="12"/>
      <c r="AH83" s="12"/>
      <c r="AI83" s="12"/>
      <c r="AJ83" s="12"/>
      <c r="AK83" s="12"/>
      <c r="AL83" s="12"/>
      <c r="AM83" s="16"/>
    </row>
    <row r="84" spans="2:39" ht="25.05" customHeight="1">
      <c r="B84" s="15"/>
      <c r="C84" s="35"/>
      <c r="D84" s="23"/>
      <c r="E84" s="19" t="s">
        <v>295</v>
      </c>
      <c r="F84" s="9"/>
      <c r="G84" s="10">
        <v>0.76180555555555551</v>
      </c>
      <c r="H84" s="10">
        <v>0.77083333333333337</v>
      </c>
      <c r="I84" s="11">
        <f t="shared" si="8"/>
        <v>9.0277777777778567E-3</v>
      </c>
      <c r="J84" s="12">
        <v>8</v>
      </c>
      <c r="K84" s="12">
        <v>133.72</v>
      </c>
      <c r="L84" s="13">
        <f t="shared" si="9"/>
        <v>77.146153846153169</v>
      </c>
      <c r="M84" s="12"/>
      <c r="N84" s="12"/>
      <c r="O84" s="12"/>
      <c r="P84" s="12"/>
      <c r="Q84" s="12"/>
      <c r="R84" s="14"/>
      <c r="S84" s="14"/>
      <c r="T84" s="12"/>
      <c r="U84" s="12"/>
      <c r="V84" s="14"/>
      <c r="W84" s="14">
        <v>2</v>
      </c>
      <c r="X84" s="12"/>
      <c r="Y84" s="12"/>
      <c r="Z84" s="12"/>
      <c r="AA84" s="12"/>
      <c r="AB84" s="12"/>
      <c r="AC84" s="12"/>
      <c r="AD84" s="12">
        <v>13</v>
      </c>
      <c r="AE84" s="12"/>
      <c r="AF84" s="12"/>
      <c r="AG84" s="12"/>
      <c r="AH84" s="12"/>
      <c r="AI84" s="12"/>
      <c r="AJ84" s="12"/>
      <c r="AK84" s="12"/>
      <c r="AL84" s="12"/>
      <c r="AM84" s="16"/>
    </row>
    <row r="85" spans="2:39" ht="25.05" customHeight="1">
      <c r="B85" s="15"/>
      <c r="C85" s="35"/>
      <c r="D85" s="23"/>
      <c r="E85" s="19" t="s">
        <v>296</v>
      </c>
      <c r="F85" s="9"/>
      <c r="G85" s="10">
        <v>0.7729166666666667</v>
      </c>
      <c r="H85" s="10">
        <v>0.78055555555555556</v>
      </c>
      <c r="I85" s="11">
        <f t="shared" si="8"/>
        <v>7.6388888888888618E-3</v>
      </c>
      <c r="J85" s="12">
        <v>8</v>
      </c>
      <c r="K85" s="12">
        <v>132.44</v>
      </c>
      <c r="L85" s="13">
        <f t="shared" si="9"/>
        <v>90.30000000000031</v>
      </c>
      <c r="M85" s="12"/>
      <c r="N85" s="12"/>
      <c r="O85" s="12"/>
      <c r="P85" s="12"/>
      <c r="Q85" s="12"/>
      <c r="R85" s="14"/>
      <c r="S85" s="14"/>
      <c r="T85" s="12"/>
      <c r="U85" s="12"/>
      <c r="V85" s="14"/>
      <c r="W85" s="14">
        <v>2</v>
      </c>
      <c r="X85" s="12"/>
      <c r="Y85" s="12"/>
      <c r="Z85" s="12"/>
      <c r="AA85" s="12"/>
      <c r="AB85" s="12"/>
      <c r="AC85" s="12"/>
      <c r="AD85" s="12">
        <v>11</v>
      </c>
      <c r="AE85" s="12"/>
      <c r="AF85" s="12"/>
      <c r="AG85" s="12"/>
      <c r="AH85" s="12"/>
      <c r="AI85" s="12"/>
      <c r="AJ85" s="12"/>
      <c r="AK85" s="12"/>
      <c r="AL85" s="12"/>
      <c r="AM85" s="16"/>
    </row>
    <row r="86" spans="2:39" ht="25.05" customHeight="1">
      <c r="B86" s="15"/>
      <c r="C86" s="35"/>
      <c r="D86" s="23"/>
      <c r="E86" s="94" t="s">
        <v>297</v>
      </c>
      <c r="F86" s="9"/>
      <c r="G86" s="10">
        <v>0.60555555555555551</v>
      </c>
      <c r="H86" s="10">
        <v>0.6118055555555556</v>
      </c>
      <c r="I86" s="11">
        <f t="shared" si="8"/>
        <v>6.2500000000000888E-3</v>
      </c>
      <c r="J86" s="12">
        <v>3</v>
      </c>
      <c r="K86" s="12">
        <v>117</v>
      </c>
      <c r="L86" s="13">
        <f t="shared" si="9"/>
        <v>259.99999999999631</v>
      </c>
      <c r="M86" s="12"/>
      <c r="N86" s="12"/>
      <c r="O86" s="12"/>
      <c r="P86" s="12"/>
      <c r="Q86" s="12"/>
      <c r="R86" s="14"/>
      <c r="S86" s="14"/>
      <c r="T86" s="12"/>
      <c r="U86" s="12"/>
      <c r="V86" s="14">
        <v>2</v>
      </c>
      <c r="W86" s="14"/>
      <c r="X86" s="12"/>
      <c r="Y86" s="12"/>
      <c r="Z86" s="12"/>
      <c r="AA86" s="12"/>
      <c r="AB86" s="12"/>
      <c r="AC86" s="12"/>
      <c r="AD86" s="12">
        <v>9</v>
      </c>
      <c r="AE86" s="12"/>
      <c r="AF86" s="12"/>
      <c r="AG86" s="12"/>
      <c r="AH86" s="12"/>
      <c r="AI86" s="12"/>
      <c r="AJ86" s="12"/>
      <c r="AK86" s="12"/>
      <c r="AL86" s="12"/>
      <c r="AM86" s="16"/>
    </row>
    <row r="87" spans="2:39" ht="25.05" customHeight="1">
      <c r="B87" s="15"/>
      <c r="C87" s="35"/>
      <c r="D87" s="23"/>
      <c r="E87" s="94"/>
      <c r="F87" s="9"/>
      <c r="G87" s="10"/>
      <c r="H87" s="10"/>
      <c r="I87" s="11">
        <f t="shared" si="8"/>
        <v>0</v>
      </c>
      <c r="J87" s="12"/>
      <c r="K87" s="12"/>
      <c r="L87" s="13" t="str">
        <f t="shared" si="9"/>
        <v>0</v>
      </c>
      <c r="M87" s="12"/>
      <c r="N87" s="12"/>
      <c r="O87" s="12"/>
      <c r="P87" s="12"/>
      <c r="Q87" s="12"/>
      <c r="R87" s="14"/>
      <c r="S87" s="14"/>
      <c r="T87" s="12"/>
      <c r="U87" s="12"/>
      <c r="V87" s="14"/>
      <c r="W87" s="14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6"/>
    </row>
    <row r="88" spans="2:39" ht="25.05" customHeight="1">
      <c r="B88" s="15"/>
      <c r="C88" s="35"/>
      <c r="D88" s="23" t="s">
        <v>120</v>
      </c>
      <c r="E88" s="19" t="s">
        <v>298</v>
      </c>
      <c r="F88" s="9"/>
      <c r="G88" s="10">
        <v>0.58472222222222225</v>
      </c>
      <c r="H88" s="10">
        <v>0.61250000000000004</v>
      </c>
      <c r="I88" s="11">
        <f t="shared" si="8"/>
        <v>2.777777777777779E-2</v>
      </c>
      <c r="J88" s="12">
        <v>4</v>
      </c>
      <c r="K88" s="12">
        <f>0.03*3240</f>
        <v>97.2</v>
      </c>
      <c r="L88" s="13">
        <f t="shared" si="9"/>
        <v>36.449999999999982</v>
      </c>
      <c r="M88" s="12"/>
      <c r="N88" s="12"/>
      <c r="O88" s="12"/>
      <c r="P88" s="12"/>
      <c r="Q88" s="12"/>
      <c r="R88" s="14"/>
      <c r="S88" s="14"/>
      <c r="T88" s="12"/>
      <c r="U88" s="12"/>
      <c r="V88" s="14"/>
      <c r="W88" s="14">
        <v>2</v>
      </c>
      <c r="X88" s="12">
        <v>40</v>
      </c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6"/>
    </row>
    <row r="89" spans="2:39" ht="25.05" customHeight="1">
      <c r="B89" s="15"/>
      <c r="C89" s="35"/>
      <c r="D89" s="23"/>
      <c r="E89" s="19" t="s">
        <v>299</v>
      </c>
      <c r="F89" s="9"/>
      <c r="G89" s="10">
        <v>0.61319444444444449</v>
      </c>
      <c r="H89" s="10">
        <v>0.63194444444444442</v>
      </c>
      <c r="I89" s="11">
        <f t="shared" si="8"/>
        <v>1.8749999999999933E-2</v>
      </c>
      <c r="J89" s="12">
        <v>4</v>
      </c>
      <c r="K89" s="12">
        <f>0.03*3240</f>
        <v>97.2</v>
      </c>
      <c r="L89" s="13">
        <f t="shared" si="9"/>
        <v>54.000000000000192</v>
      </c>
      <c r="M89" s="12"/>
      <c r="N89" s="12"/>
      <c r="O89" s="12"/>
      <c r="P89" s="12"/>
      <c r="Q89" s="12"/>
      <c r="R89" s="14"/>
      <c r="S89" s="14"/>
      <c r="T89" s="12"/>
      <c r="U89" s="12"/>
      <c r="V89" s="14"/>
      <c r="W89" s="14">
        <v>2</v>
      </c>
      <c r="X89" s="12"/>
      <c r="Y89" s="12">
        <v>27</v>
      </c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6"/>
    </row>
    <row r="90" spans="2:39" ht="25.05" customHeight="1">
      <c r="B90" s="15"/>
      <c r="C90" s="35"/>
      <c r="D90" s="23"/>
      <c r="E90" s="19" t="s">
        <v>300</v>
      </c>
      <c r="F90" s="9"/>
      <c r="G90" s="10">
        <v>0.63472222222222219</v>
      </c>
      <c r="H90" s="10">
        <v>0.64513888888888893</v>
      </c>
      <c r="I90" s="11">
        <f t="shared" si="8"/>
        <v>1.0416666666666741E-2</v>
      </c>
      <c r="J90" s="12">
        <v>4</v>
      </c>
      <c r="K90" s="12">
        <f>0.03*3240</f>
        <v>97.2</v>
      </c>
      <c r="L90" s="13">
        <f t="shared" si="9"/>
        <v>97.199999999999307</v>
      </c>
      <c r="M90" s="12"/>
      <c r="N90" s="12"/>
      <c r="O90" s="12"/>
      <c r="P90" s="12"/>
      <c r="Q90" s="12"/>
      <c r="R90" s="14"/>
      <c r="S90" s="14"/>
      <c r="T90" s="12"/>
      <c r="U90" s="12"/>
      <c r="V90" s="14"/>
      <c r="W90" s="14">
        <v>2</v>
      </c>
      <c r="X90" s="12"/>
      <c r="Y90" s="12"/>
      <c r="Z90" s="12">
        <v>15</v>
      </c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6"/>
    </row>
    <row r="91" spans="2:39" ht="25.05" customHeight="1">
      <c r="B91" s="15"/>
      <c r="C91" s="35"/>
      <c r="D91" s="23"/>
      <c r="E91" s="19" t="s">
        <v>301</v>
      </c>
      <c r="F91" s="9"/>
      <c r="G91" s="10">
        <v>0.64722222222222225</v>
      </c>
      <c r="H91" s="10">
        <v>0.66388888888888886</v>
      </c>
      <c r="I91" s="11">
        <f t="shared" si="8"/>
        <v>1.6666666666666607E-2</v>
      </c>
      <c r="J91" s="12">
        <v>4</v>
      </c>
      <c r="K91" s="12">
        <f>0.03*3240</f>
        <v>97.2</v>
      </c>
      <c r="L91" s="13">
        <f>IFERROR(((K91/(J91*I91)/24)),"0")</f>
        <v>60.75000000000022</v>
      </c>
      <c r="M91" s="12"/>
      <c r="N91" s="12"/>
      <c r="O91" s="12"/>
      <c r="P91" s="12"/>
      <c r="Q91" s="12"/>
      <c r="R91" s="14"/>
      <c r="S91" s="14"/>
      <c r="T91" s="12"/>
      <c r="U91" s="12"/>
      <c r="V91" s="14"/>
      <c r="W91" s="14">
        <v>2</v>
      </c>
      <c r="X91" s="12">
        <v>24</v>
      </c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6"/>
    </row>
    <row r="92" spans="2:39" ht="25.05" customHeight="1">
      <c r="B92" s="15"/>
      <c r="C92" s="35"/>
      <c r="D92" s="23"/>
      <c r="E92" s="19" t="s">
        <v>302</v>
      </c>
      <c r="F92" s="9"/>
      <c r="G92" s="10">
        <v>0.66597222222222219</v>
      </c>
      <c r="H92" s="10">
        <v>0.67500000000000004</v>
      </c>
      <c r="I92" s="11">
        <f t="shared" si="8"/>
        <v>9.0277777777778567E-3</v>
      </c>
      <c r="J92" s="12">
        <v>4</v>
      </c>
      <c r="K92" s="12">
        <f>0.03*2970</f>
        <v>89.1</v>
      </c>
      <c r="L92" s="13">
        <f t="shared" si="9"/>
        <v>102.80769230769141</v>
      </c>
      <c r="M92" s="12"/>
      <c r="N92" s="12"/>
      <c r="O92" s="12"/>
      <c r="P92" s="12"/>
      <c r="Q92" s="12"/>
      <c r="R92" s="14"/>
      <c r="S92" s="14"/>
      <c r="T92" s="12"/>
      <c r="U92" s="12"/>
      <c r="V92" s="14"/>
      <c r="W92" s="14">
        <v>2</v>
      </c>
      <c r="X92" s="14"/>
      <c r="Y92" s="14">
        <v>13</v>
      </c>
      <c r="Z92" s="14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6"/>
    </row>
    <row r="93" spans="2:39" ht="25.05" customHeight="1">
      <c r="B93" s="15"/>
      <c r="C93" s="35"/>
      <c r="D93" s="23"/>
      <c r="E93" s="30" t="s">
        <v>303</v>
      </c>
      <c r="F93" s="48"/>
      <c r="G93" s="31">
        <v>0.63263888888888886</v>
      </c>
      <c r="H93" s="31">
        <v>0.64444444444444449</v>
      </c>
      <c r="I93" s="32">
        <f t="shared" si="8"/>
        <v>1.1805555555555625E-2</v>
      </c>
      <c r="J93" s="18">
        <v>3</v>
      </c>
      <c r="K93" s="18">
        <v>33.79</v>
      </c>
      <c r="L93" s="95">
        <f t="shared" si="9"/>
        <v>39.752941176470351</v>
      </c>
      <c r="M93" s="12"/>
      <c r="N93" s="12"/>
      <c r="O93" s="12"/>
      <c r="P93" s="12"/>
      <c r="Q93" s="12"/>
      <c r="R93" s="14"/>
      <c r="S93" s="14"/>
      <c r="T93" s="12"/>
      <c r="U93" s="12"/>
      <c r="V93" s="14"/>
      <c r="W93" s="14">
        <v>2</v>
      </c>
      <c r="X93" s="14"/>
      <c r="Y93" s="14"/>
      <c r="Z93" s="14">
        <v>17</v>
      </c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6"/>
    </row>
    <row r="94" spans="2:39" ht="25.05" customHeight="1">
      <c r="B94" s="15"/>
      <c r="C94" s="35"/>
      <c r="D94" s="23"/>
      <c r="E94" s="19" t="s">
        <v>304</v>
      </c>
      <c r="F94" s="9"/>
      <c r="G94" s="10">
        <v>0.6743055555555556</v>
      </c>
      <c r="H94" s="10">
        <v>0.68194444444444446</v>
      </c>
      <c r="I94" s="11">
        <f t="shared" si="8"/>
        <v>7.6388888888888618E-3</v>
      </c>
      <c r="J94" s="12">
        <v>4</v>
      </c>
      <c r="K94" s="12">
        <v>77.41</v>
      </c>
      <c r="L94" s="13">
        <f t="shared" si="9"/>
        <v>105.55909090909127</v>
      </c>
      <c r="M94" s="12"/>
      <c r="N94" s="12"/>
      <c r="O94" s="12"/>
      <c r="P94" s="12"/>
      <c r="Q94" s="12"/>
      <c r="R94" s="14"/>
      <c r="S94" s="14"/>
      <c r="T94" s="12"/>
      <c r="U94" s="12"/>
      <c r="V94" s="14"/>
      <c r="W94" s="14">
        <v>2</v>
      </c>
      <c r="X94" s="14"/>
      <c r="Y94" s="14"/>
      <c r="Z94" s="14"/>
      <c r="AA94" s="12"/>
      <c r="AB94" s="12"/>
      <c r="AC94" s="12"/>
      <c r="AD94" s="12"/>
      <c r="AE94" s="12">
        <v>11</v>
      </c>
      <c r="AF94" s="12"/>
      <c r="AG94" s="12"/>
      <c r="AH94" s="12"/>
      <c r="AI94" s="12"/>
      <c r="AJ94" s="12"/>
      <c r="AK94" s="12"/>
      <c r="AL94" s="12"/>
      <c r="AM94" s="16"/>
    </row>
    <row r="95" spans="2:39" ht="25.05" customHeight="1">
      <c r="B95" s="15"/>
      <c r="C95" s="35"/>
      <c r="D95" s="23"/>
      <c r="E95" s="19"/>
      <c r="F95" s="9"/>
      <c r="G95" s="10"/>
      <c r="H95" s="10"/>
      <c r="I95" s="11">
        <f t="shared" si="8"/>
        <v>0</v>
      </c>
      <c r="J95" s="12"/>
      <c r="K95" s="12"/>
      <c r="L95" s="13" t="str">
        <f t="shared" si="9"/>
        <v>0</v>
      </c>
      <c r="M95" s="12"/>
      <c r="N95" s="12"/>
      <c r="O95" s="12"/>
      <c r="P95" s="12"/>
      <c r="Q95" s="12"/>
      <c r="R95" s="14"/>
      <c r="S95" s="14"/>
      <c r="T95" s="12"/>
      <c r="U95" s="12"/>
      <c r="V95" s="14"/>
      <c r="W95" s="14"/>
      <c r="X95" s="14"/>
      <c r="Y95" s="14"/>
      <c r="Z95" s="14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6"/>
    </row>
    <row r="96" spans="2:39" ht="25.05" customHeight="1">
      <c r="B96" s="15"/>
      <c r="C96" s="35"/>
      <c r="D96" s="23"/>
      <c r="E96" s="19"/>
      <c r="F96" s="9"/>
      <c r="G96" s="10"/>
      <c r="H96" s="10"/>
      <c r="I96" s="11">
        <f t="shared" si="8"/>
        <v>0</v>
      </c>
      <c r="J96" s="12"/>
      <c r="K96" s="12"/>
      <c r="L96" s="13" t="str">
        <f t="shared" si="9"/>
        <v>0</v>
      </c>
      <c r="M96" s="12"/>
      <c r="N96" s="12"/>
      <c r="O96" s="12"/>
      <c r="P96" s="12"/>
      <c r="Q96" s="12"/>
      <c r="R96" s="14"/>
      <c r="S96" s="14"/>
      <c r="T96" s="12"/>
      <c r="U96" s="12"/>
      <c r="V96" s="14"/>
      <c r="W96" s="14"/>
      <c r="X96" s="14"/>
      <c r="Y96" s="14"/>
      <c r="Z96" s="14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6"/>
    </row>
    <row r="97" spans="1:39" ht="25.05" customHeight="1">
      <c r="B97" s="15"/>
      <c r="C97" s="35"/>
      <c r="D97" s="23"/>
      <c r="E97" s="19"/>
      <c r="F97" s="9"/>
      <c r="G97" s="10"/>
      <c r="H97" s="10"/>
      <c r="I97" s="11">
        <f t="shared" si="8"/>
        <v>0</v>
      </c>
      <c r="J97" s="12"/>
      <c r="K97" s="12"/>
      <c r="L97" s="13" t="str">
        <f t="shared" si="9"/>
        <v>0</v>
      </c>
      <c r="M97" s="12"/>
      <c r="N97" s="12"/>
      <c r="O97" s="12"/>
      <c r="P97" s="12"/>
      <c r="Q97" s="12"/>
      <c r="R97" s="14"/>
      <c r="S97" s="14"/>
      <c r="T97" s="12"/>
      <c r="U97" s="12"/>
      <c r="V97" s="14"/>
      <c r="W97" s="14"/>
      <c r="X97" s="14"/>
      <c r="Y97" s="14"/>
      <c r="Z97" s="14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6"/>
    </row>
    <row r="98" spans="1:39" ht="25.05" customHeight="1">
      <c r="B98" s="15"/>
      <c r="C98" s="35"/>
      <c r="D98" s="23"/>
      <c r="E98" s="19"/>
      <c r="F98" s="9"/>
      <c r="G98" s="10"/>
      <c r="H98" s="10"/>
      <c r="I98" s="11">
        <f t="shared" si="8"/>
        <v>0</v>
      </c>
      <c r="J98" s="12"/>
      <c r="K98" s="12"/>
      <c r="L98" s="13" t="str">
        <f t="shared" si="9"/>
        <v>0</v>
      </c>
      <c r="M98" s="12"/>
      <c r="N98" s="12"/>
      <c r="O98" s="12"/>
      <c r="P98" s="12"/>
      <c r="Q98" s="12"/>
      <c r="R98" s="14"/>
      <c r="S98" s="14"/>
      <c r="T98" s="12"/>
      <c r="U98" s="12"/>
      <c r="V98" s="14"/>
      <c r="W98" s="14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6"/>
    </row>
    <row r="99" spans="1:39" ht="25.05" customHeight="1">
      <c r="B99" s="15"/>
      <c r="C99" s="35"/>
      <c r="D99" s="23"/>
      <c r="E99" s="19"/>
      <c r="F99" s="9"/>
      <c r="G99" s="10"/>
      <c r="H99" s="10"/>
      <c r="I99" s="11">
        <f t="shared" si="8"/>
        <v>0</v>
      </c>
      <c r="J99" s="12"/>
      <c r="K99" s="12"/>
      <c r="L99" s="13" t="str">
        <f t="shared" si="9"/>
        <v>0</v>
      </c>
      <c r="M99" s="12"/>
      <c r="N99" s="12"/>
      <c r="O99" s="12"/>
      <c r="P99" s="12"/>
      <c r="Q99" s="12"/>
      <c r="R99" s="14"/>
      <c r="S99" s="14"/>
      <c r="T99" s="12"/>
      <c r="U99" s="12"/>
      <c r="V99" s="14"/>
      <c r="W99" s="14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6"/>
    </row>
    <row r="100" spans="1:39" s="34" customFormat="1" ht="25.5" customHeight="1" thickBot="1">
      <c r="A100" s="1"/>
      <c r="B100" s="59"/>
      <c r="C100" s="60"/>
      <c r="D100" s="61"/>
      <c r="E100" s="62"/>
      <c r="F100" s="62"/>
      <c r="G100" s="63"/>
      <c r="H100" s="63"/>
      <c r="I100" s="64"/>
      <c r="J100" s="65"/>
      <c r="K100" s="65">
        <f t="shared" ref="K100:AD100" si="10">SUM(K36:K99)</f>
        <v>4176.9299999999994</v>
      </c>
      <c r="L100" s="33">
        <f t="shared" si="10"/>
        <v>58797.538464908605</v>
      </c>
      <c r="M100" s="65">
        <f t="shared" si="10"/>
        <v>0</v>
      </c>
      <c r="N100" s="65">
        <f t="shared" si="10"/>
        <v>0</v>
      </c>
      <c r="O100" s="65">
        <f t="shared" si="10"/>
        <v>0</v>
      </c>
      <c r="P100" s="65">
        <f t="shared" si="10"/>
        <v>0</v>
      </c>
      <c r="Q100" s="65">
        <f t="shared" si="10"/>
        <v>0</v>
      </c>
      <c r="R100" s="65">
        <f t="shared" si="10"/>
        <v>0</v>
      </c>
      <c r="S100" s="65">
        <f t="shared" si="10"/>
        <v>0</v>
      </c>
      <c r="T100" s="65">
        <f t="shared" si="10"/>
        <v>0</v>
      </c>
      <c r="U100" s="65">
        <f t="shared" si="10"/>
        <v>0</v>
      </c>
      <c r="V100" s="65">
        <f t="shared" si="10"/>
        <v>54</v>
      </c>
      <c r="W100" s="65">
        <f t="shared" si="10"/>
        <v>60</v>
      </c>
      <c r="X100" s="66">
        <f t="shared" si="10"/>
        <v>64</v>
      </c>
      <c r="Y100" s="66">
        <f t="shared" si="10"/>
        <v>40</v>
      </c>
      <c r="Z100" s="66">
        <f t="shared" si="10"/>
        <v>32</v>
      </c>
      <c r="AA100" s="65">
        <f t="shared" si="10"/>
        <v>0</v>
      </c>
      <c r="AB100" s="65">
        <f t="shared" si="10"/>
        <v>0</v>
      </c>
      <c r="AC100" s="65">
        <f t="shared" si="10"/>
        <v>24</v>
      </c>
      <c r="AD100" s="65">
        <f t="shared" si="10"/>
        <v>264</v>
      </c>
      <c r="AE100" s="65"/>
      <c r="AF100" s="65">
        <f t="shared" ref="AF100:AM100" si="11">SUM(AF36:AF99)</f>
        <v>0</v>
      </c>
      <c r="AG100" s="65">
        <f t="shared" si="11"/>
        <v>0</v>
      </c>
      <c r="AH100" s="65">
        <f t="shared" si="11"/>
        <v>0</v>
      </c>
      <c r="AI100" s="65">
        <f t="shared" si="11"/>
        <v>0</v>
      </c>
      <c r="AJ100" s="65">
        <f t="shared" si="11"/>
        <v>0</v>
      </c>
      <c r="AK100" s="65">
        <f t="shared" si="11"/>
        <v>0</v>
      </c>
      <c r="AL100" s="65">
        <f t="shared" si="11"/>
        <v>0</v>
      </c>
      <c r="AM100" s="65">
        <f t="shared" si="11"/>
        <v>0</v>
      </c>
    </row>
    <row r="101" spans="1:39" ht="38.1" customHeight="1" thickBot="1">
      <c r="B101" s="67" t="s">
        <v>161</v>
      </c>
      <c r="C101" s="68"/>
      <c r="D101" s="68"/>
      <c r="E101" s="68"/>
      <c r="F101" s="68"/>
      <c r="G101" s="68"/>
      <c r="H101" s="68"/>
      <c r="I101" s="68"/>
      <c r="J101" s="68"/>
      <c r="K101" s="69">
        <f>K29+K35+K100</f>
        <v>7874.7199999999993</v>
      </c>
      <c r="L101" s="69">
        <f>L29+L35+L100</f>
        <v>60718.844070815328</v>
      </c>
      <c r="M101" s="70">
        <f t="shared" ref="M101:AM101" si="12">(M29+M35+M100)/(480-15-30)</f>
        <v>0.13333333333333333</v>
      </c>
      <c r="N101" s="70">
        <f t="shared" si="12"/>
        <v>0</v>
      </c>
      <c r="O101" s="70">
        <f t="shared" si="12"/>
        <v>0.89655172413793105</v>
      </c>
      <c r="P101" s="70">
        <f t="shared" si="12"/>
        <v>0</v>
      </c>
      <c r="Q101" s="70">
        <f t="shared" si="12"/>
        <v>0</v>
      </c>
      <c r="R101" s="70">
        <f t="shared" si="12"/>
        <v>9.1954022988505746E-2</v>
      </c>
      <c r="S101" s="70">
        <f t="shared" si="12"/>
        <v>1.4022988505747127</v>
      </c>
      <c r="T101" s="70">
        <f t="shared" si="12"/>
        <v>0.96551724137931039</v>
      </c>
      <c r="U101" s="70">
        <f t="shared" si="12"/>
        <v>0</v>
      </c>
      <c r="V101" s="70">
        <f t="shared" si="12"/>
        <v>0.12413793103448276</v>
      </c>
      <c r="W101" s="70">
        <f t="shared" si="12"/>
        <v>0.13793103448275862</v>
      </c>
      <c r="X101" s="70">
        <f t="shared" si="12"/>
        <v>0.14712643678160919</v>
      </c>
      <c r="Y101" s="70">
        <f t="shared" si="12"/>
        <v>9.1954022988505746E-2</v>
      </c>
      <c r="Z101" s="70">
        <f t="shared" si="12"/>
        <v>7.3563218390804597E-2</v>
      </c>
      <c r="AA101" s="70">
        <f t="shared" si="12"/>
        <v>0</v>
      </c>
      <c r="AB101" s="70">
        <f t="shared" si="12"/>
        <v>0</v>
      </c>
      <c r="AC101" s="70">
        <f t="shared" si="12"/>
        <v>5.5172413793103448E-2</v>
      </c>
      <c r="AD101" s="70">
        <f t="shared" si="12"/>
        <v>0.60689655172413792</v>
      </c>
      <c r="AE101" s="70">
        <f t="shared" si="12"/>
        <v>0</v>
      </c>
      <c r="AF101" s="70">
        <f t="shared" si="12"/>
        <v>0</v>
      </c>
      <c r="AG101" s="70">
        <f t="shared" si="12"/>
        <v>0</v>
      </c>
      <c r="AH101" s="70">
        <f t="shared" si="12"/>
        <v>0</v>
      </c>
      <c r="AI101" s="70">
        <f t="shared" si="12"/>
        <v>0</v>
      </c>
      <c r="AJ101" s="70">
        <f t="shared" si="12"/>
        <v>0</v>
      </c>
      <c r="AK101" s="70">
        <f t="shared" si="12"/>
        <v>0</v>
      </c>
      <c r="AL101" s="70">
        <f t="shared" si="12"/>
        <v>0</v>
      </c>
      <c r="AM101" s="70">
        <f t="shared" si="12"/>
        <v>0</v>
      </c>
    </row>
    <row r="102" spans="1:39" ht="25.05" customHeight="1">
      <c r="B102" s="71"/>
      <c r="C102" s="71"/>
      <c r="D102" s="71"/>
      <c r="E102" s="72"/>
      <c r="F102" s="72"/>
      <c r="G102" s="72"/>
      <c r="H102" s="72"/>
      <c r="I102" s="73"/>
      <c r="J102" s="73"/>
      <c r="K102" s="72"/>
      <c r="L102" s="74"/>
      <c r="M102" s="74"/>
      <c r="N102" s="74"/>
      <c r="O102" s="74"/>
      <c r="P102" s="74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</row>
    <row r="103" spans="1:39" ht="25.05" customHeight="1">
      <c r="B103" s="71"/>
      <c r="C103" s="71"/>
      <c r="D103" s="71"/>
      <c r="E103" s="72"/>
      <c r="F103" s="72"/>
      <c r="G103" s="72"/>
      <c r="H103" s="72"/>
      <c r="I103" s="75" t="s">
        <v>162</v>
      </c>
      <c r="J103" s="73"/>
      <c r="K103" s="72"/>
      <c r="L103" s="74"/>
      <c r="M103" s="74"/>
      <c r="N103" s="74"/>
      <c r="O103" s="74"/>
      <c r="P103" s="74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</row>
    <row r="104" spans="1:39" ht="25.05" customHeight="1">
      <c r="B104" s="71"/>
      <c r="C104" s="71"/>
      <c r="D104" s="71"/>
      <c r="E104" s="72"/>
      <c r="F104" s="72"/>
      <c r="G104" s="72"/>
      <c r="H104" s="72"/>
      <c r="I104" s="76" t="s">
        <v>163</v>
      </c>
      <c r="J104" s="10">
        <v>0</v>
      </c>
      <c r="K104" s="12">
        <v>10</v>
      </c>
      <c r="L104" s="12" t="s">
        <v>164</v>
      </c>
      <c r="M104" s="74"/>
      <c r="N104" s="16">
        <v>2</v>
      </c>
      <c r="O104" s="16"/>
      <c r="P104" s="16"/>
      <c r="Q104" s="77" t="s">
        <v>165</v>
      </c>
      <c r="R104" s="78"/>
      <c r="S104" s="72"/>
      <c r="T104" s="72"/>
      <c r="U104" s="72"/>
      <c r="V104" s="72"/>
      <c r="W104" s="72"/>
      <c r="X104" s="72"/>
      <c r="Y104" s="72"/>
      <c r="Z104" s="72"/>
      <c r="AA104" s="72"/>
      <c r="AC104" s="72"/>
      <c r="AD104" s="72"/>
      <c r="AE104" s="72"/>
      <c r="AF104" s="72"/>
      <c r="AG104" s="72"/>
      <c r="AH104" s="72"/>
      <c r="AI104" s="72"/>
    </row>
    <row r="105" spans="1:39" ht="25.05" customHeight="1">
      <c r="B105" s="71"/>
      <c r="C105" s="71"/>
      <c r="D105" s="71"/>
      <c r="E105" s="72"/>
      <c r="F105" s="72"/>
      <c r="G105" s="72"/>
      <c r="H105" s="72"/>
      <c r="I105" s="76" t="s">
        <v>166</v>
      </c>
      <c r="J105" s="10">
        <v>0</v>
      </c>
      <c r="K105" s="12">
        <v>3</v>
      </c>
      <c r="L105" s="12" t="s">
        <v>164</v>
      </c>
      <c r="M105" s="74"/>
      <c r="N105" s="16">
        <v>4</v>
      </c>
      <c r="O105" s="16"/>
      <c r="P105" s="16"/>
      <c r="Q105" s="77" t="s">
        <v>167</v>
      </c>
      <c r="R105" s="78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</row>
    <row r="106" spans="1:39" ht="25.05" customHeight="1">
      <c r="B106" s="71"/>
      <c r="C106" s="71"/>
      <c r="D106" s="71"/>
      <c r="E106" s="72"/>
      <c r="F106" s="72"/>
      <c r="G106" s="72"/>
      <c r="H106" s="72"/>
      <c r="I106" s="76" t="s">
        <v>168</v>
      </c>
      <c r="J106" s="10">
        <v>0</v>
      </c>
      <c r="K106" s="12">
        <v>18</v>
      </c>
      <c r="L106" s="12" t="s">
        <v>164</v>
      </c>
      <c r="M106" s="74"/>
      <c r="N106" s="16">
        <v>1</v>
      </c>
      <c r="O106" s="16"/>
      <c r="P106" s="16"/>
      <c r="Q106" s="77" t="s">
        <v>169</v>
      </c>
      <c r="R106" s="78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</row>
    <row r="107" spans="1:39" ht="25.05" customHeight="1">
      <c r="B107" s="71"/>
      <c r="C107" s="71"/>
      <c r="D107" s="71"/>
      <c r="E107" s="72"/>
      <c r="F107" s="72"/>
      <c r="G107" s="72"/>
      <c r="H107" s="72"/>
      <c r="I107" s="79" t="s">
        <v>170</v>
      </c>
      <c r="J107" s="52">
        <v>0</v>
      </c>
      <c r="K107" s="12">
        <v>5</v>
      </c>
      <c r="L107" s="53" t="s">
        <v>164</v>
      </c>
      <c r="M107" s="74"/>
      <c r="N107" s="16">
        <v>3</v>
      </c>
      <c r="O107" s="16"/>
      <c r="P107" s="16"/>
      <c r="Q107" s="77" t="s">
        <v>171</v>
      </c>
      <c r="R107" s="78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</row>
    <row r="108" spans="1:39" ht="25.05" customHeight="1">
      <c r="B108" s="71"/>
      <c r="C108" s="71"/>
      <c r="D108" s="71"/>
      <c r="E108" s="72"/>
      <c r="F108" s="72"/>
      <c r="G108" s="72"/>
      <c r="H108" s="72"/>
      <c r="I108" s="76" t="s">
        <v>172</v>
      </c>
      <c r="J108" s="10">
        <v>0</v>
      </c>
      <c r="K108" s="12">
        <v>36</v>
      </c>
      <c r="L108" s="12" t="s">
        <v>164</v>
      </c>
      <c r="M108" s="74"/>
      <c r="N108"/>
      <c r="O108"/>
      <c r="P108"/>
      <c r="Q108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</row>
    <row r="109" spans="1:39" ht="25.05" customHeight="1">
      <c r="B109" s="71"/>
      <c r="C109" s="71"/>
      <c r="D109" s="71"/>
      <c r="E109" s="72"/>
      <c r="F109" s="72"/>
      <c r="G109" s="72"/>
      <c r="H109" s="72"/>
      <c r="M109" s="74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</row>
    <row r="110" spans="1:39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M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DB35E-7CEB-4F95-ADE7-8488A4F1AB85}">
  <sheetPr>
    <pageSetUpPr fitToPage="1"/>
  </sheetPr>
  <dimension ref="A2:AN68"/>
  <sheetViews>
    <sheetView zoomScale="70" zoomScaleNormal="70" workbookViewId="0">
      <pane xSplit="12" ySplit="4" topLeftCell="AF5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1" customWidth="1"/>
    <col min="2" max="2" width="13" style="1" customWidth="1"/>
    <col min="3" max="3" width="17.5546875" style="1" customWidth="1"/>
    <col min="4" max="4" width="78.21875" style="1" customWidth="1"/>
    <col min="5" max="5" width="46" style="1" customWidth="1"/>
    <col min="6" max="6" width="25.21875" style="1" customWidth="1"/>
    <col min="7" max="7" width="13.44140625" style="1" customWidth="1"/>
    <col min="8" max="8" width="12.5546875" style="1" customWidth="1"/>
    <col min="9" max="9" width="22.5546875" style="1" customWidth="1"/>
    <col min="10" max="10" width="12.5546875" style="1" customWidth="1"/>
    <col min="11" max="11" width="17.44140625" style="1" customWidth="1"/>
    <col min="12" max="12" width="20.77734375" style="1" customWidth="1"/>
    <col min="13" max="13" width="16.21875" style="1" customWidth="1"/>
    <col min="14" max="14" width="20.33203125" style="1" customWidth="1"/>
    <col min="15" max="32" width="16.21875" style="1" customWidth="1"/>
    <col min="33" max="33" width="17.77734375" style="1" customWidth="1"/>
    <col min="34" max="39" width="16.21875" style="1" customWidth="1"/>
    <col min="40" max="40" width="14.44140625" style="1" customWidth="1"/>
    <col min="41" max="16384" width="10.21875" style="1"/>
  </cols>
  <sheetData>
    <row r="2" spans="1:40" ht="18.75" customHeight="1" thickBot="1">
      <c r="M2" s="96" t="s">
        <v>14</v>
      </c>
      <c r="N2" s="97" t="s">
        <v>305</v>
      </c>
      <c r="O2" s="97" t="s">
        <v>16</v>
      </c>
      <c r="P2" s="97" t="s">
        <v>306</v>
      </c>
      <c r="Q2" s="97" t="s">
        <v>18</v>
      </c>
      <c r="R2" s="97" t="s">
        <v>307</v>
      </c>
      <c r="S2" s="97" t="s">
        <v>20</v>
      </c>
      <c r="T2" s="96" t="s">
        <v>21</v>
      </c>
      <c r="U2" s="96" t="s">
        <v>308</v>
      </c>
      <c r="V2" s="97" t="s">
        <v>23</v>
      </c>
      <c r="W2" s="97" t="s">
        <v>24</v>
      </c>
      <c r="X2" s="96" t="s">
        <v>25</v>
      </c>
      <c r="Y2" s="96" t="s">
        <v>26</v>
      </c>
      <c r="Z2" s="96" t="s">
        <v>27</v>
      </c>
      <c r="AA2" s="96" t="s">
        <v>28</v>
      </c>
      <c r="AB2" s="97" t="s">
        <v>29</v>
      </c>
      <c r="AC2" s="97" t="s">
        <v>30</v>
      </c>
      <c r="AD2" s="97" t="s">
        <v>31</v>
      </c>
      <c r="AE2" s="97" t="s">
        <v>33</v>
      </c>
      <c r="AF2" s="96" t="s">
        <v>34</v>
      </c>
      <c r="AG2" s="96" t="s">
        <v>35</v>
      </c>
      <c r="AH2" s="96" t="s">
        <v>36</v>
      </c>
      <c r="AI2" s="96" t="s">
        <v>37</v>
      </c>
      <c r="AJ2" s="96" t="s">
        <v>38</v>
      </c>
      <c r="AK2" s="96" t="s">
        <v>309</v>
      </c>
      <c r="AL2" s="96" t="s">
        <v>39</v>
      </c>
      <c r="AM2" s="98" t="s">
        <v>40</v>
      </c>
    </row>
    <row r="3" spans="1:40" ht="25.05" customHeight="1">
      <c r="B3" s="114" t="s">
        <v>1</v>
      </c>
      <c r="C3" s="114" t="s">
        <v>2</v>
      </c>
      <c r="D3" s="114" t="s">
        <v>3</v>
      </c>
      <c r="E3" s="114" t="s">
        <v>4</v>
      </c>
      <c r="F3" s="114" t="s">
        <v>5</v>
      </c>
      <c r="G3" s="115" t="s">
        <v>6</v>
      </c>
      <c r="H3" s="115"/>
      <c r="I3" s="109" t="s">
        <v>7</v>
      </c>
      <c r="J3" s="110" t="s">
        <v>8</v>
      </c>
      <c r="K3" s="110" t="s">
        <v>9</v>
      </c>
      <c r="L3" s="110" t="s">
        <v>10</v>
      </c>
      <c r="M3" s="111" t="s">
        <v>11</v>
      </c>
      <c r="N3" s="112"/>
      <c r="O3" s="112"/>
      <c r="P3" s="112"/>
      <c r="Q3" s="112"/>
      <c r="R3" s="112"/>
      <c r="S3" s="112"/>
      <c r="T3" s="112"/>
      <c r="U3" s="112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112"/>
      <c r="AM3" s="112"/>
      <c r="AN3" s="113"/>
    </row>
    <row r="4" spans="1:40" ht="46.5" customHeight="1">
      <c r="B4" s="114"/>
      <c r="C4" s="114"/>
      <c r="D4" s="114"/>
      <c r="E4" s="114"/>
      <c r="F4" s="114"/>
      <c r="G4" s="3" t="s">
        <v>12</v>
      </c>
      <c r="H4" s="3" t="s">
        <v>13</v>
      </c>
      <c r="I4" s="109"/>
      <c r="J4" s="110"/>
      <c r="K4" s="110"/>
      <c r="L4" s="110"/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4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  <c r="Z4" s="2" t="s">
        <v>27</v>
      </c>
      <c r="AA4" s="2" t="s">
        <v>28</v>
      </c>
      <c r="AB4" s="2" t="s">
        <v>29</v>
      </c>
      <c r="AC4" s="2" t="s">
        <v>30</v>
      </c>
      <c r="AD4" s="2" t="s">
        <v>31</v>
      </c>
      <c r="AE4" s="2" t="s">
        <v>32</v>
      </c>
      <c r="AF4" s="2" t="s">
        <v>33</v>
      </c>
      <c r="AG4" s="2" t="s">
        <v>34</v>
      </c>
      <c r="AH4" s="2" t="s">
        <v>35</v>
      </c>
      <c r="AI4" s="2" t="s">
        <v>36</v>
      </c>
      <c r="AJ4" s="2" t="s">
        <v>37</v>
      </c>
      <c r="AK4" s="2" t="s">
        <v>38</v>
      </c>
      <c r="AL4" s="2" t="s">
        <v>39</v>
      </c>
      <c r="AM4" s="2" t="s">
        <v>40</v>
      </c>
    </row>
    <row r="5" spans="1:40" ht="25.05" customHeight="1">
      <c r="B5" s="15">
        <v>46106</v>
      </c>
      <c r="C5" s="6" t="s">
        <v>42</v>
      </c>
      <c r="D5" s="80" t="s">
        <v>174</v>
      </c>
      <c r="E5" s="8" t="s">
        <v>43</v>
      </c>
      <c r="F5" s="9" t="s">
        <v>44</v>
      </c>
      <c r="G5" s="10">
        <v>0.79166666666666663</v>
      </c>
      <c r="H5" s="10">
        <v>0.79861111111111116</v>
      </c>
      <c r="I5" s="11">
        <f t="shared" ref="I5:I15" si="0">H5-G5</f>
        <v>6.9444444444445308E-3</v>
      </c>
      <c r="J5" s="12">
        <v>8</v>
      </c>
      <c r="K5" s="81" t="s">
        <v>44</v>
      </c>
      <c r="L5" s="82" t="s">
        <v>44</v>
      </c>
      <c r="M5" s="12"/>
      <c r="N5" s="12"/>
      <c r="O5" s="12"/>
      <c r="P5" s="12"/>
      <c r="Q5" s="12"/>
      <c r="R5" s="14"/>
      <c r="S5" s="14"/>
      <c r="T5" s="12"/>
      <c r="U5" s="12"/>
      <c r="V5" s="14"/>
      <c r="W5" s="14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40" ht="25.05" customHeight="1">
      <c r="B6" s="15"/>
      <c r="C6" s="16"/>
      <c r="D6" s="23" t="s">
        <v>120</v>
      </c>
      <c r="E6" s="20" t="s">
        <v>310</v>
      </c>
      <c r="F6" s="83" t="s">
        <v>186</v>
      </c>
      <c r="G6" s="10">
        <v>0.80902777777777779</v>
      </c>
      <c r="H6" s="10">
        <v>0.82361111111111107</v>
      </c>
      <c r="I6" s="11">
        <f t="shared" si="0"/>
        <v>1.4583333333333282E-2</v>
      </c>
      <c r="J6" s="12">
        <v>1</v>
      </c>
      <c r="K6" s="12">
        <v>9.5</v>
      </c>
      <c r="L6" s="13">
        <f t="shared" ref="L6:L15" si="1">IFERROR(((K6/(J6*I6)/24)),"0")</f>
        <v>27.142857142857238</v>
      </c>
      <c r="M6" s="12">
        <v>21</v>
      </c>
      <c r="N6" s="12"/>
      <c r="O6" s="12"/>
      <c r="P6" s="12"/>
      <c r="Q6" s="12"/>
      <c r="R6" s="14"/>
      <c r="S6" s="14"/>
      <c r="T6" s="12"/>
      <c r="U6" s="12"/>
      <c r="V6" s="14"/>
      <c r="W6" s="14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40" ht="25.5" customHeight="1">
      <c r="B7" s="15"/>
      <c r="C7" s="16"/>
      <c r="D7" s="7"/>
      <c r="E7" s="20" t="s">
        <v>311</v>
      </c>
      <c r="F7" s="83" t="s">
        <v>192</v>
      </c>
      <c r="G7" s="10">
        <v>0.84930555555555554</v>
      </c>
      <c r="H7" s="10">
        <v>0.86805555555555558</v>
      </c>
      <c r="I7" s="11">
        <f t="shared" si="0"/>
        <v>1.8750000000000044E-2</v>
      </c>
      <c r="J7" s="12">
        <v>1</v>
      </c>
      <c r="K7" s="12">
        <v>68.5</v>
      </c>
      <c r="L7" s="13">
        <f t="shared" si="1"/>
        <v>152.22222222222186</v>
      </c>
      <c r="M7" s="12">
        <v>27</v>
      </c>
      <c r="N7" s="12"/>
      <c r="O7" s="12"/>
      <c r="P7" s="12"/>
      <c r="Q7" s="12"/>
      <c r="R7" s="14"/>
      <c r="S7" s="14"/>
      <c r="T7" s="12"/>
      <c r="U7" s="12"/>
      <c r="V7" s="14"/>
      <c r="W7" s="14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40" ht="25.05" customHeight="1">
      <c r="B8" s="15"/>
      <c r="C8" s="16"/>
      <c r="D8" s="7"/>
      <c r="E8" s="20" t="s">
        <v>312</v>
      </c>
      <c r="F8" s="84" t="s">
        <v>44</v>
      </c>
      <c r="G8" s="10">
        <v>0.80555555555555558</v>
      </c>
      <c r="H8" s="10">
        <v>46107.0625</v>
      </c>
      <c r="I8" s="11">
        <f t="shared" si="0"/>
        <v>46106.256944444445</v>
      </c>
      <c r="J8" s="12">
        <v>2</v>
      </c>
      <c r="K8" s="12">
        <v>373.5</v>
      </c>
      <c r="L8" s="13">
        <f t="shared" si="1"/>
        <v>1.6876776636576651E-4</v>
      </c>
      <c r="M8" s="12"/>
      <c r="N8" s="12"/>
      <c r="O8" s="12"/>
      <c r="P8" s="12"/>
      <c r="Q8" s="12"/>
      <c r="R8" s="14"/>
      <c r="S8" s="14"/>
      <c r="T8" s="12"/>
      <c r="U8" s="12"/>
      <c r="V8" s="14"/>
      <c r="W8" s="14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40" ht="25.05" customHeight="1">
      <c r="B9" s="15"/>
      <c r="C9" s="16"/>
      <c r="D9" s="7"/>
      <c r="E9" s="20" t="s">
        <v>313</v>
      </c>
      <c r="F9" s="83" t="s">
        <v>195</v>
      </c>
      <c r="G9" s="10">
        <v>0.81736111111111109</v>
      </c>
      <c r="H9" s="10">
        <v>46107.09375</v>
      </c>
      <c r="I9" s="11">
        <f t="shared" si="0"/>
        <v>46106.276388888888</v>
      </c>
      <c r="J9" s="12">
        <v>10</v>
      </c>
      <c r="K9" s="12">
        <v>392.3</v>
      </c>
      <c r="L9" s="13">
        <f t="shared" si="1"/>
        <v>3.545251235528641E-5</v>
      </c>
      <c r="M9" s="12"/>
      <c r="N9" s="12"/>
      <c r="O9" s="12"/>
      <c r="P9" s="12"/>
      <c r="Q9" s="12"/>
      <c r="R9" s="14"/>
      <c r="S9" s="14">
        <v>398</v>
      </c>
      <c r="T9" s="12"/>
      <c r="U9" s="12"/>
      <c r="V9" s="14"/>
      <c r="W9" s="14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40" ht="25.05" customHeight="1">
      <c r="B10" s="15"/>
      <c r="C10" s="16"/>
      <c r="D10" s="7"/>
      <c r="E10" s="88" t="s">
        <v>314</v>
      </c>
      <c r="F10" s="83" t="s">
        <v>186</v>
      </c>
      <c r="G10" s="10">
        <v>0.87916666666666665</v>
      </c>
      <c r="H10" s="10">
        <v>0.8833333333333333</v>
      </c>
      <c r="I10" s="11">
        <f t="shared" si="0"/>
        <v>4.1666666666666519E-3</v>
      </c>
      <c r="J10" s="12">
        <v>1</v>
      </c>
      <c r="K10" s="12">
        <v>5</v>
      </c>
      <c r="L10" s="13">
        <f t="shared" si="1"/>
        <v>50.000000000000178</v>
      </c>
      <c r="M10" s="12">
        <v>6</v>
      </c>
      <c r="N10" s="12"/>
      <c r="O10" s="12"/>
      <c r="P10" s="12"/>
      <c r="Q10" s="12"/>
      <c r="R10" s="14"/>
      <c r="S10" s="14"/>
      <c r="T10" s="12"/>
      <c r="U10" s="12"/>
      <c r="V10" s="14"/>
      <c r="W10" s="14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40" ht="25.05" customHeight="1">
      <c r="B11" s="15"/>
      <c r="C11" s="16"/>
      <c r="D11" s="7"/>
      <c r="E11" s="89" t="s">
        <v>315</v>
      </c>
      <c r="F11" s="83" t="s">
        <v>192</v>
      </c>
      <c r="G11" s="10">
        <v>0.86805555555555558</v>
      </c>
      <c r="H11" s="10">
        <v>0.90277777777777779</v>
      </c>
      <c r="I11" s="11">
        <f t="shared" si="0"/>
        <v>3.472222222222221E-2</v>
      </c>
      <c r="J11" s="12">
        <v>3</v>
      </c>
      <c r="K11" s="12">
        <v>80</v>
      </c>
      <c r="L11" s="13">
        <f t="shared" si="1"/>
        <v>32.000000000000007</v>
      </c>
      <c r="M11" s="12">
        <v>50</v>
      </c>
      <c r="N11" s="12"/>
      <c r="O11" s="12"/>
      <c r="P11" s="12"/>
      <c r="Q11" s="12"/>
      <c r="R11" s="14"/>
      <c r="S11" s="14"/>
      <c r="T11" s="12"/>
      <c r="U11" s="12"/>
      <c r="V11" s="14"/>
      <c r="W11" s="14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40" ht="25.05" customHeight="1">
      <c r="B12" s="15"/>
      <c r="C12" s="16"/>
      <c r="D12" s="23" t="s">
        <v>182</v>
      </c>
      <c r="E12" s="99" t="s">
        <v>316</v>
      </c>
      <c r="F12" s="83" t="s">
        <v>317</v>
      </c>
      <c r="G12" s="10">
        <v>9.375E-2</v>
      </c>
      <c r="H12" s="10">
        <v>0.24305555555555555</v>
      </c>
      <c r="I12" s="11">
        <f t="shared" si="0"/>
        <v>0.14930555555555555</v>
      </c>
      <c r="J12" s="12">
        <v>10</v>
      </c>
      <c r="K12" s="12">
        <v>581.76</v>
      </c>
      <c r="L12" s="13">
        <f t="shared" si="1"/>
        <v>16.235162790697675</v>
      </c>
      <c r="M12" s="12"/>
      <c r="N12" s="12"/>
      <c r="O12" s="12"/>
      <c r="P12" s="12"/>
      <c r="Q12" s="12"/>
      <c r="R12" s="14"/>
      <c r="S12" s="14">
        <v>215</v>
      </c>
      <c r="T12" s="12"/>
      <c r="U12" s="12"/>
      <c r="V12" s="14"/>
      <c r="W12" s="14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40" ht="25.05" customHeight="1">
      <c r="B13" s="15"/>
      <c r="C13" s="16"/>
      <c r="D13" s="7"/>
      <c r="E13" s="20"/>
      <c r="F13" s="83"/>
      <c r="G13" s="10"/>
      <c r="H13" s="10"/>
      <c r="I13" s="11">
        <f t="shared" si="0"/>
        <v>0</v>
      </c>
      <c r="J13" s="12"/>
      <c r="K13" s="12"/>
      <c r="L13" s="13" t="str">
        <f t="shared" si="1"/>
        <v>0</v>
      </c>
      <c r="M13" s="12"/>
      <c r="N13" s="12"/>
      <c r="O13" s="12"/>
      <c r="P13" s="12"/>
      <c r="Q13" s="12"/>
      <c r="R13" s="14"/>
      <c r="S13" s="14"/>
      <c r="T13" s="12"/>
      <c r="U13" s="12"/>
      <c r="V13" s="14"/>
      <c r="W13" s="14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40" ht="25.05" customHeight="1">
      <c r="B14" s="15"/>
      <c r="C14" s="16"/>
      <c r="D14" s="7"/>
      <c r="E14" s="20"/>
      <c r="F14" s="83"/>
      <c r="G14" s="10"/>
      <c r="H14" s="10"/>
      <c r="I14" s="11">
        <f t="shared" si="0"/>
        <v>0</v>
      </c>
      <c r="J14" s="12"/>
      <c r="K14" s="12"/>
      <c r="L14" s="13" t="str">
        <f t="shared" si="1"/>
        <v>0</v>
      </c>
      <c r="M14" s="12"/>
      <c r="N14" s="12"/>
      <c r="O14" s="12"/>
      <c r="P14" s="12"/>
      <c r="Q14" s="12"/>
      <c r="R14" s="14"/>
      <c r="S14" s="14"/>
      <c r="T14" s="12"/>
      <c r="U14" s="12"/>
      <c r="V14" s="14"/>
      <c r="W14" s="14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40" ht="25.05" customHeight="1">
      <c r="B15" s="15"/>
      <c r="C15" s="16"/>
      <c r="D15" s="7"/>
      <c r="E15" s="20"/>
      <c r="F15" s="83"/>
      <c r="G15" s="10"/>
      <c r="H15" s="10"/>
      <c r="I15" s="11">
        <f t="shared" si="0"/>
        <v>0</v>
      </c>
      <c r="J15" s="12"/>
      <c r="K15" s="12"/>
      <c r="L15" s="13" t="str">
        <f t="shared" si="1"/>
        <v>0</v>
      </c>
      <c r="M15" s="12"/>
      <c r="N15" s="12"/>
      <c r="O15" s="12"/>
      <c r="P15" s="12"/>
      <c r="Q15" s="12"/>
      <c r="R15" s="14"/>
      <c r="S15" s="14"/>
      <c r="T15" s="12"/>
      <c r="U15" s="12"/>
      <c r="V15" s="14"/>
      <c r="W15" s="14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40" s="34" customFormat="1" ht="25.05" customHeight="1">
      <c r="A16" s="1"/>
      <c r="B16" s="27"/>
      <c r="C16" s="28"/>
      <c r="D16" s="29"/>
      <c r="E16" s="30"/>
      <c r="F16" s="30"/>
      <c r="G16" s="31"/>
      <c r="H16" s="31"/>
      <c r="I16" s="32"/>
      <c r="J16" s="18"/>
      <c r="K16" s="18">
        <f t="shared" ref="K16:AM16" si="2">SUM(K5:K12)</f>
        <v>1510.56</v>
      </c>
      <c r="L16" s="33">
        <f t="shared" si="2"/>
        <v>277.60044637605569</v>
      </c>
      <c r="M16" s="18">
        <f t="shared" si="2"/>
        <v>104</v>
      </c>
      <c r="N16" s="18">
        <f t="shared" si="2"/>
        <v>0</v>
      </c>
      <c r="O16" s="18">
        <f t="shared" si="2"/>
        <v>0</v>
      </c>
      <c r="P16" s="18">
        <f t="shared" si="2"/>
        <v>0</v>
      </c>
      <c r="Q16" s="18">
        <f t="shared" si="2"/>
        <v>0</v>
      </c>
      <c r="R16" s="18">
        <f t="shared" si="2"/>
        <v>0</v>
      </c>
      <c r="S16" s="18">
        <f t="shared" si="2"/>
        <v>613</v>
      </c>
      <c r="T16" s="18">
        <f t="shared" si="2"/>
        <v>0</v>
      </c>
      <c r="U16" s="18">
        <f t="shared" si="2"/>
        <v>0</v>
      </c>
      <c r="V16" s="18">
        <f t="shared" si="2"/>
        <v>0</v>
      </c>
      <c r="W16" s="18">
        <f t="shared" si="2"/>
        <v>0</v>
      </c>
      <c r="X16" s="18">
        <f t="shared" si="2"/>
        <v>0</v>
      </c>
      <c r="Y16" s="18">
        <f t="shared" si="2"/>
        <v>0</v>
      </c>
      <c r="Z16" s="18">
        <f t="shared" si="2"/>
        <v>0</v>
      </c>
      <c r="AA16" s="18">
        <f t="shared" si="2"/>
        <v>0</v>
      </c>
      <c r="AB16" s="18">
        <f t="shared" si="2"/>
        <v>0</v>
      </c>
      <c r="AC16" s="18">
        <f t="shared" si="2"/>
        <v>0</v>
      </c>
      <c r="AD16" s="18">
        <f t="shared" si="2"/>
        <v>0</v>
      </c>
      <c r="AE16" s="18">
        <f t="shared" si="2"/>
        <v>0</v>
      </c>
      <c r="AF16" s="18">
        <f t="shared" si="2"/>
        <v>0</v>
      </c>
      <c r="AG16" s="18">
        <f t="shared" si="2"/>
        <v>0</v>
      </c>
      <c r="AH16" s="18">
        <f t="shared" si="2"/>
        <v>0</v>
      </c>
      <c r="AI16" s="18">
        <f t="shared" si="2"/>
        <v>0</v>
      </c>
      <c r="AJ16" s="18">
        <f t="shared" si="2"/>
        <v>0</v>
      </c>
      <c r="AK16" s="18">
        <f t="shared" si="2"/>
        <v>0</v>
      </c>
      <c r="AL16" s="18">
        <f t="shared" si="2"/>
        <v>0</v>
      </c>
      <c r="AM16" s="18">
        <f t="shared" si="2"/>
        <v>0</v>
      </c>
    </row>
    <row r="17" spans="1:39" ht="25.05" customHeight="1">
      <c r="B17" s="15"/>
      <c r="C17" s="16" t="s">
        <v>71</v>
      </c>
      <c r="D17" s="7"/>
      <c r="E17" s="8" t="s">
        <v>43</v>
      </c>
      <c r="F17" s="9" t="s">
        <v>44</v>
      </c>
      <c r="G17" s="10"/>
      <c r="H17" s="10"/>
      <c r="I17" s="11">
        <f>H17-G17</f>
        <v>0</v>
      </c>
      <c r="J17" s="12"/>
      <c r="K17" s="12"/>
      <c r="L17" s="13" t="str">
        <f>IFERROR(((K17/(J17*I17)/24)),"0")</f>
        <v>0</v>
      </c>
      <c r="M17" s="12"/>
      <c r="N17" s="12"/>
      <c r="O17" s="12"/>
      <c r="P17" s="12"/>
      <c r="Q17" s="12"/>
      <c r="R17" s="14"/>
      <c r="S17" s="14"/>
      <c r="T17" s="12"/>
      <c r="U17" s="12"/>
      <c r="V17" s="14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</row>
    <row r="18" spans="1:39" ht="25.05" customHeight="1">
      <c r="B18" s="15"/>
      <c r="C18" s="16"/>
      <c r="D18" s="90"/>
      <c r="E18" s="7"/>
      <c r="F18" s="16"/>
      <c r="G18" s="10"/>
      <c r="H18" s="10"/>
      <c r="I18" s="11"/>
      <c r="J18" s="12"/>
      <c r="K18" s="12"/>
      <c r="L18" s="13"/>
      <c r="M18" s="12"/>
      <c r="N18" s="12"/>
      <c r="O18" s="12"/>
      <c r="P18" s="12"/>
      <c r="Q18" s="12"/>
      <c r="R18" s="14"/>
      <c r="S18" s="14"/>
      <c r="T18" s="12"/>
      <c r="U18" s="12"/>
      <c r="V18" s="14"/>
      <c r="W18" s="14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</row>
    <row r="19" spans="1:39" s="34" customFormat="1" ht="25.05" customHeight="1">
      <c r="A19" s="1"/>
      <c r="B19" s="27"/>
      <c r="C19" s="28"/>
      <c r="D19" s="29"/>
      <c r="E19" s="30"/>
      <c r="F19" s="28"/>
      <c r="G19" s="31"/>
      <c r="H19" s="31"/>
      <c r="I19" s="32"/>
      <c r="J19" s="18"/>
      <c r="K19" s="18">
        <f t="shared" ref="K19:AJ19" si="3">SUM(K17:K18)</f>
        <v>0</v>
      </c>
      <c r="L19" s="18">
        <f t="shared" si="3"/>
        <v>0</v>
      </c>
      <c r="M19" s="18">
        <f t="shared" si="3"/>
        <v>0</v>
      </c>
      <c r="N19" s="18">
        <f t="shared" si="3"/>
        <v>0</v>
      </c>
      <c r="O19" s="18">
        <f t="shared" si="3"/>
        <v>0</v>
      </c>
      <c r="P19" s="18">
        <f t="shared" si="3"/>
        <v>0</v>
      </c>
      <c r="Q19" s="18">
        <f t="shared" si="3"/>
        <v>0</v>
      </c>
      <c r="R19" s="18">
        <f t="shared" si="3"/>
        <v>0</v>
      </c>
      <c r="S19" s="18">
        <f t="shared" si="3"/>
        <v>0</v>
      </c>
      <c r="T19" s="18">
        <f t="shared" si="3"/>
        <v>0</v>
      </c>
      <c r="U19" s="18">
        <f t="shared" si="3"/>
        <v>0</v>
      </c>
      <c r="V19" s="18">
        <f t="shared" si="3"/>
        <v>0</v>
      </c>
      <c r="W19" s="18">
        <f t="shared" si="3"/>
        <v>0</v>
      </c>
      <c r="X19" s="18">
        <f t="shared" si="3"/>
        <v>0</v>
      </c>
      <c r="Y19" s="18">
        <f t="shared" si="3"/>
        <v>0</v>
      </c>
      <c r="Z19" s="18">
        <f t="shared" si="3"/>
        <v>0</v>
      </c>
      <c r="AA19" s="18">
        <f t="shared" si="3"/>
        <v>0</v>
      </c>
      <c r="AB19" s="18">
        <f t="shared" si="3"/>
        <v>0</v>
      </c>
      <c r="AC19" s="18">
        <f t="shared" si="3"/>
        <v>0</v>
      </c>
      <c r="AD19" s="18">
        <f t="shared" si="3"/>
        <v>0</v>
      </c>
      <c r="AE19" s="18">
        <f t="shared" si="3"/>
        <v>0</v>
      </c>
      <c r="AF19" s="18">
        <f t="shared" si="3"/>
        <v>0</v>
      </c>
      <c r="AG19" s="18">
        <f t="shared" si="3"/>
        <v>0</v>
      </c>
      <c r="AH19" s="18">
        <f t="shared" si="3"/>
        <v>0</v>
      </c>
      <c r="AI19" s="18">
        <f t="shared" si="3"/>
        <v>0</v>
      </c>
      <c r="AJ19" s="18">
        <f t="shared" si="3"/>
        <v>0</v>
      </c>
      <c r="AK19" s="18">
        <f>SUM(AK17:AK18)</f>
        <v>0</v>
      </c>
      <c r="AL19" s="18">
        <f>SUM(AL17:AL18)</f>
        <v>0</v>
      </c>
      <c r="AM19" s="18">
        <f>SUM(AM17:AM18)</f>
        <v>0</v>
      </c>
    </row>
    <row r="20" spans="1:39" ht="25.05" customHeight="1">
      <c r="B20" s="5"/>
      <c r="C20" s="35" t="s">
        <v>76</v>
      </c>
      <c r="D20" s="80" t="s">
        <v>174</v>
      </c>
      <c r="E20" s="8" t="s">
        <v>43</v>
      </c>
      <c r="F20" s="9" t="s">
        <v>44</v>
      </c>
      <c r="G20" s="10">
        <v>0.79166666666666663</v>
      </c>
      <c r="H20" s="10">
        <v>0.83333333333333337</v>
      </c>
      <c r="I20" s="11">
        <f t="shared" ref="I20:I56" si="4">H20-G20</f>
        <v>4.1666666666666741E-2</v>
      </c>
      <c r="J20" s="12">
        <v>5</v>
      </c>
      <c r="K20" s="100" t="s">
        <v>44</v>
      </c>
      <c r="L20" s="82" t="s">
        <v>44</v>
      </c>
      <c r="M20" s="12"/>
      <c r="N20" s="12"/>
      <c r="O20" s="12"/>
      <c r="P20" s="12"/>
      <c r="Q20" s="12"/>
      <c r="R20" s="14"/>
      <c r="S20" s="14"/>
      <c r="T20" s="12"/>
      <c r="U20" s="12"/>
      <c r="V20" s="14"/>
      <c r="W20" s="14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6"/>
    </row>
    <row r="21" spans="1:39" ht="25.05" customHeight="1">
      <c r="B21" s="15"/>
      <c r="C21" s="35"/>
      <c r="D21" s="23" t="s">
        <v>120</v>
      </c>
      <c r="E21" s="19" t="s">
        <v>318</v>
      </c>
      <c r="F21" s="9" t="s">
        <v>44</v>
      </c>
      <c r="G21" s="10">
        <v>0.90763888888888888</v>
      </c>
      <c r="H21" s="10">
        <v>0.93680555555555556</v>
      </c>
      <c r="I21" s="11">
        <f t="shared" si="4"/>
        <v>2.9166666666666674E-2</v>
      </c>
      <c r="J21" s="12">
        <v>2</v>
      </c>
      <c r="K21" s="12">
        <v>71.540000000000006</v>
      </c>
      <c r="L21" s="13">
        <f t="shared" ref="L21:L47" si="5">IFERROR(((K21/(J21*I21)/24)),"0")</f>
        <v>51.099999999999994</v>
      </c>
      <c r="M21" s="12"/>
      <c r="N21" s="12"/>
      <c r="O21" s="12"/>
      <c r="P21" s="12"/>
      <c r="Q21" s="12"/>
      <c r="R21" s="14"/>
      <c r="S21" s="14"/>
      <c r="T21" s="12"/>
      <c r="U21" s="12"/>
      <c r="V21" s="14">
        <v>2</v>
      </c>
      <c r="W21" s="14"/>
      <c r="X21" s="12"/>
      <c r="Y21" s="12"/>
      <c r="Z21" s="12"/>
      <c r="AA21" s="12"/>
      <c r="AB21" s="12"/>
      <c r="AC21" s="12"/>
      <c r="AD21" s="12"/>
      <c r="AE21" s="12">
        <v>42</v>
      </c>
      <c r="AF21" s="12"/>
      <c r="AG21" s="12"/>
      <c r="AH21" s="12"/>
      <c r="AI21" s="12"/>
      <c r="AJ21" s="12"/>
      <c r="AK21" s="12"/>
      <c r="AL21" s="12"/>
      <c r="AM21" s="16"/>
    </row>
    <row r="22" spans="1:39" ht="25.05" customHeight="1">
      <c r="B22" s="15"/>
      <c r="C22" s="35"/>
      <c r="D22" s="23"/>
      <c r="E22" s="19" t="s">
        <v>217</v>
      </c>
      <c r="F22" s="9" t="s">
        <v>44</v>
      </c>
      <c r="G22" s="10">
        <v>1.8749999999999999E-2</v>
      </c>
      <c r="H22" s="10">
        <v>4.027777777777778E-2</v>
      </c>
      <c r="I22" s="11">
        <f t="shared" si="4"/>
        <v>2.1527777777777781E-2</v>
      </c>
      <c r="J22" s="12">
        <v>4</v>
      </c>
      <c r="K22" s="12">
        <v>93.43</v>
      </c>
      <c r="L22" s="13">
        <f t="shared" si="5"/>
        <v>45.208064516129035</v>
      </c>
      <c r="M22" s="12"/>
      <c r="N22" s="12"/>
      <c r="O22" s="12"/>
      <c r="P22" s="12"/>
      <c r="Q22" s="12"/>
      <c r="R22" s="14"/>
      <c r="S22" s="14"/>
      <c r="T22" s="12"/>
      <c r="U22" s="12"/>
      <c r="V22" s="14">
        <v>2</v>
      </c>
      <c r="W22" s="14"/>
      <c r="X22" s="12"/>
      <c r="Y22" s="12"/>
      <c r="Z22" s="12"/>
      <c r="AA22" s="12"/>
      <c r="AB22" s="12"/>
      <c r="AC22" s="12"/>
      <c r="AD22" s="12">
        <v>31</v>
      </c>
      <c r="AE22" s="12"/>
      <c r="AF22" s="12"/>
      <c r="AG22" s="12"/>
      <c r="AH22" s="12"/>
      <c r="AI22" s="12"/>
      <c r="AJ22" s="12"/>
      <c r="AK22" s="12"/>
      <c r="AL22" s="12"/>
      <c r="AM22" s="16"/>
    </row>
    <row r="23" spans="1:39" ht="25.05" customHeight="1">
      <c r="B23" s="15"/>
      <c r="C23" s="35"/>
      <c r="D23" s="23"/>
      <c r="E23" s="19" t="s">
        <v>218</v>
      </c>
      <c r="F23" s="9" t="s">
        <v>44</v>
      </c>
      <c r="G23" s="10">
        <v>1.8749999999999999E-2</v>
      </c>
      <c r="H23" s="10">
        <v>4.0972222222222222E-2</v>
      </c>
      <c r="I23" s="11">
        <f t="shared" si="4"/>
        <v>2.2222222222222223E-2</v>
      </c>
      <c r="J23" s="12">
        <v>4</v>
      </c>
      <c r="K23" s="12">
        <v>97.09</v>
      </c>
      <c r="L23" s="13">
        <f t="shared" si="5"/>
        <v>45.510937500000004</v>
      </c>
      <c r="M23" s="12"/>
      <c r="N23" s="12"/>
      <c r="O23" s="12"/>
      <c r="P23" s="12"/>
      <c r="Q23" s="12"/>
      <c r="R23" s="14"/>
      <c r="S23" s="14"/>
      <c r="T23" s="12"/>
      <c r="U23" s="12"/>
      <c r="V23" s="14">
        <v>2</v>
      </c>
      <c r="W23" s="14"/>
      <c r="X23" s="12"/>
      <c r="Y23" s="12"/>
      <c r="Z23" s="12"/>
      <c r="AA23" s="12"/>
      <c r="AB23" s="12"/>
      <c r="AC23" s="12"/>
      <c r="AD23" s="12"/>
      <c r="AE23" s="12">
        <v>32</v>
      </c>
      <c r="AF23" s="12"/>
      <c r="AG23" s="12"/>
      <c r="AH23" s="12"/>
      <c r="AI23" s="12"/>
      <c r="AJ23" s="12"/>
      <c r="AK23" s="12"/>
      <c r="AL23" s="12"/>
      <c r="AM23" s="16"/>
    </row>
    <row r="24" spans="1:39" ht="25.05" customHeight="1">
      <c r="B24" s="15"/>
      <c r="C24" s="35"/>
      <c r="D24" s="23"/>
      <c r="E24" s="19" t="s">
        <v>319</v>
      </c>
      <c r="F24" s="9" t="s">
        <v>44</v>
      </c>
      <c r="G24" s="10">
        <v>4.9305555555555554E-2</v>
      </c>
      <c r="H24" s="10">
        <v>7.4999999999999997E-2</v>
      </c>
      <c r="I24" s="11">
        <f t="shared" si="4"/>
        <v>2.5694444444444443E-2</v>
      </c>
      <c r="J24" s="12">
        <v>4</v>
      </c>
      <c r="K24" s="12">
        <v>86.62</v>
      </c>
      <c r="L24" s="13">
        <f t="shared" si="5"/>
        <v>35.116216216216223</v>
      </c>
      <c r="M24" s="12"/>
      <c r="N24" s="12"/>
      <c r="O24" s="12"/>
      <c r="P24" s="12"/>
      <c r="Q24" s="12"/>
      <c r="R24" s="14"/>
      <c r="S24" s="14"/>
      <c r="T24" s="12"/>
      <c r="U24" s="12"/>
      <c r="V24" s="14">
        <v>2</v>
      </c>
      <c r="W24" s="14"/>
      <c r="X24" s="12"/>
      <c r="Y24" s="12"/>
      <c r="Z24" s="12"/>
      <c r="AA24" s="12"/>
      <c r="AB24" s="12"/>
      <c r="AC24" s="12"/>
      <c r="AD24" s="12">
        <v>37</v>
      </c>
      <c r="AE24" s="12"/>
      <c r="AF24" s="12"/>
      <c r="AG24" s="12"/>
      <c r="AH24" s="12"/>
      <c r="AI24" s="12"/>
      <c r="AJ24" s="12"/>
      <c r="AK24" s="12"/>
      <c r="AL24" s="12"/>
      <c r="AM24" s="16"/>
    </row>
    <row r="25" spans="1:39" ht="25.05" customHeight="1">
      <c r="B25" s="15"/>
      <c r="C25" s="35"/>
      <c r="D25" s="23"/>
      <c r="E25" s="19" t="s">
        <v>320</v>
      </c>
      <c r="F25" s="9" t="s">
        <v>44</v>
      </c>
      <c r="G25" s="10">
        <v>6.1111111111111109E-2</v>
      </c>
      <c r="H25" s="10">
        <v>8.1944444444444445E-2</v>
      </c>
      <c r="I25" s="11">
        <f t="shared" si="4"/>
        <v>2.0833333333333336E-2</v>
      </c>
      <c r="J25" s="12">
        <v>4</v>
      </c>
      <c r="K25" s="12">
        <v>95.06</v>
      </c>
      <c r="L25" s="13">
        <f t="shared" si="5"/>
        <v>47.529999999999994</v>
      </c>
      <c r="M25" s="12"/>
      <c r="N25" s="12"/>
      <c r="O25" s="12"/>
      <c r="P25" s="12"/>
      <c r="Q25" s="12"/>
      <c r="R25" s="14"/>
      <c r="S25" s="14"/>
      <c r="T25" s="12"/>
      <c r="U25" s="12"/>
      <c r="V25" s="14">
        <v>2</v>
      </c>
      <c r="W25" s="14"/>
      <c r="X25" s="12"/>
      <c r="Y25" s="12"/>
      <c r="Z25" s="12"/>
      <c r="AA25" s="12"/>
      <c r="AB25" s="12"/>
      <c r="AC25" s="12"/>
      <c r="AD25" s="12"/>
      <c r="AE25" s="12">
        <v>30</v>
      </c>
      <c r="AF25" s="12"/>
      <c r="AG25" s="12"/>
      <c r="AH25" s="12"/>
      <c r="AI25" s="12"/>
      <c r="AJ25" s="12"/>
      <c r="AK25" s="12"/>
      <c r="AL25" s="12"/>
      <c r="AM25" s="16"/>
    </row>
    <row r="26" spans="1:39" ht="25.05" customHeight="1">
      <c r="B26" s="15"/>
      <c r="C26" s="35"/>
      <c r="D26" s="23"/>
      <c r="E26" s="19" t="s">
        <v>321</v>
      </c>
      <c r="F26" s="9" t="s">
        <v>44</v>
      </c>
      <c r="G26" s="10">
        <v>8.611111111111111E-2</v>
      </c>
      <c r="H26" s="10">
        <v>0.10694444444444444</v>
      </c>
      <c r="I26" s="11">
        <f t="shared" si="4"/>
        <v>2.0833333333333329E-2</v>
      </c>
      <c r="J26" s="12">
        <v>4</v>
      </c>
      <c r="K26" s="12">
        <v>95.32</v>
      </c>
      <c r="L26" s="13">
        <f t="shared" si="5"/>
        <v>47.660000000000004</v>
      </c>
      <c r="M26" s="12"/>
      <c r="N26" s="12"/>
      <c r="O26" s="12"/>
      <c r="P26" s="12"/>
      <c r="Q26" s="12"/>
      <c r="R26" s="14"/>
      <c r="S26" s="14"/>
      <c r="T26" s="12"/>
      <c r="U26" s="12"/>
      <c r="V26" s="14">
        <v>2</v>
      </c>
      <c r="W26" s="14"/>
      <c r="X26" s="12"/>
      <c r="Y26" s="12"/>
      <c r="Z26" s="12"/>
      <c r="AA26" s="12"/>
      <c r="AB26" s="12"/>
      <c r="AC26" s="12"/>
      <c r="AD26" s="12">
        <v>30</v>
      </c>
      <c r="AE26" s="12"/>
      <c r="AF26" s="12"/>
      <c r="AG26" s="12"/>
      <c r="AH26" s="12"/>
      <c r="AI26" s="12"/>
      <c r="AJ26" s="12"/>
      <c r="AK26" s="12"/>
      <c r="AL26" s="12"/>
      <c r="AM26" s="16"/>
    </row>
    <row r="27" spans="1:39" ht="25.05" customHeight="1">
      <c r="B27" s="15"/>
      <c r="C27" s="35"/>
      <c r="D27" s="23"/>
      <c r="E27" s="19"/>
      <c r="F27" s="9" t="s">
        <v>44</v>
      </c>
      <c r="G27" s="10"/>
      <c r="H27" s="10"/>
      <c r="I27" s="11"/>
      <c r="J27" s="12"/>
      <c r="K27" s="12"/>
      <c r="L27" s="13"/>
      <c r="M27" s="12"/>
      <c r="N27" s="12"/>
      <c r="O27" s="12"/>
      <c r="P27" s="12"/>
      <c r="Q27" s="12"/>
      <c r="R27" s="14"/>
      <c r="S27" s="14"/>
      <c r="T27" s="12"/>
      <c r="U27" s="12"/>
      <c r="V27" s="14"/>
      <c r="W27" s="14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6"/>
    </row>
    <row r="28" spans="1:39" ht="25.05" customHeight="1">
      <c r="B28" s="15"/>
      <c r="C28" s="35"/>
      <c r="D28" s="23" t="s">
        <v>182</v>
      </c>
      <c r="E28" s="19" t="s">
        <v>322</v>
      </c>
      <c r="F28" s="9" t="s">
        <v>44</v>
      </c>
      <c r="G28" s="10">
        <v>0.85416666666666663</v>
      </c>
      <c r="H28" s="10">
        <v>0.85902777777777772</v>
      </c>
      <c r="I28" s="11">
        <f t="shared" si="4"/>
        <v>4.8611111111110938E-3</v>
      </c>
      <c r="J28" s="12">
        <v>3</v>
      </c>
      <c r="K28" s="12">
        <v>68.37</v>
      </c>
      <c r="L28" s="13">
        <f t="shared" si="5"/>
        <v>195.34285714285784</v>
      </c>
      <c r="M28" s="12"/>
      <c r="N28" s="12"/>
      <c r="O28" s="12"/>
      <c r="P28" s="12"/>
      <c r="Q28" s="12"/>
      <c r="R28" s="14"/>
      <c r="S28" s="14"/>
      <c r="T28" s="12"/>
      <c r="U28" s="12"/>
      <c r="V28" s="14"/>
      <c r="W28" s="14"/>
      <c r="X28" s="12"/>
      <c r="Y28" s="12"/>
      <c r="Z28" s="12"/>
      <c r="AA28" s="12"/>
      <c r="AB28" s="12">
        <v>7</v>
      </c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6"/>
    </row>
    <row r="29" spans="1:39" ht="25.05" customHeight="1">
      <c r="B29" s="15"/>
      <c r="C29" s="35"/>
      <c r="D29" s="101" t="s">
        <v>323</v>
      </c>
      <c r="E29" s="19" t="s">
        <v>324</v>
      </c>
      <c r="F29" s="9" t="s">
        <v>44</v>
      </c>
      <c r="G29" s="10">
        <v>0.85555555555555551</v>
      </c>
      <c r="H29" s="10">
        <v>0.86041666666666672</v>
      </c>
      <c r="I29" s="11">
        <f t="shared" si="4"/>
        <v>4.8611111111112049E-3</v>
      </c>
      <c r="J29" s="12">
        <v>3</v>
      </c>
      <c r="K29" s="12">
        <v>68.37</v>
      </c>
      <c r="L29" s="13">
        <f t="shared" si="5"/>
        <v>195.3428571428534</v>
      </c>
      <c r="M29" s="12"/>
      <c r="N29" s="12"/>
      <c r="O29" s="12"/>
      <c r="P29" s="12"/>
      <c r="Q29" s="12"/>
      <c r="R29" s="14"/>
      <c r="S29" s="14"/>
      <c r="T29" s="12"/>
      <c r="U29" s="12"/>
      <c r="V29" s="14"/>
      <c r="W29" s="14"/>
      <c r="X29" s="12"/>
      <c r="Y29" s="12"/>
      <c r="Z29" s="12"/>
      <c r="AA29" s="12"/>
      <c r="AB29" s="12"/>
      <c r="AC29" s="12">
        <v>7</v>
      </c>
      <c r="AD29" s="12"/>
      <c r="AE29" s="12"/>
      <c r="AF29" s="12"/>
      <c r="AG29" s="12"/>
      <c r="AH29" s="12"/>
      <c r="AI29" s="12"/>
      <c r="AJ29" s="12"/>
      <c r="AK29" s="12"/>
      <c r="AL29" s="12"/>
      <c r="AM29" s="16"/>
    </row>
    <row r="30" spans="1:39" ht="25.05" customHeight="1">
      <c r="B30" s="15"/>
      <c r="C30" s="35"/>
      <c r="D30" s="23"/>
      <c r="E30" s="19" t="s">
        <v>325</v>
      </c>
      <c r="F30" s="9" t="s">
        <v>44</v>
      </c>
      <c r="G30" s="10">
        <v>0.86597222222222225</v>
      </c>
      <c r="H30" s="10">
        <v>0.87083333333333335</v>
      </c>
      <c r="I30" s="11">
        <f t="shared" si="4"/>
        <v>4.8611111111110938E-3</v>
      </c>
      <c r="J30" s="12">
        <v>3</v>
      </c>
      <c r="K30" s="12">
        <v>68.37</v>
      </c>
      <c r="L30" s="13">
        <f t="shared" si="5"/>
        <v>195.34285714285784</v>
      </c>
      <c r="M30" s="12"/>
      <c r="N30" s="12"/>
      <c r="O30" s="12"/>
      <c r="P30" s="12"/>
      <c r="Q30" s="12"/>
      <c r="R30" s="14"/>
      <c r="S30" s="14"/>
      <c r="T30" s="12"/>
      <c r="U30" s="12"/>
      <c r="V30" s="14"/>
      <c r="W30" s="14"/>
      <c r="X30" s="12"/>
      <c r="Y30" s="12"/>
      <c r="Z30" s="12"/>
      <c r="AA30" s="12"/>
      <c r="AB30" s="12">
        <v>7</v>
      </c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6"/>
    </row>
    <row r="31" spans="1:39" ht="25.05" customHeight="1">
      <c r="B31" s="15"/>
      <c r="C31" s="35"/>
      <c r="D31" s="23"/>
      <c r="E31" s="19" t="s">
        <v>326</v>
      </c>
      <c r="F31" s="9" t="s">
        <v>44</v>
      </c>
      <c r="G31" s="10">
        <v>0.86805555555555558</v>
      </c>
      <c r="H31" s="10">
        <v>0.87291666666666667</v>
      </c>
      <c r="I31" s="11">
        <f t="shared" si="4"/>
        <v>4.8611111111110938E-3</v>
      </c>
      <c r="J31" s="12">
        <v>3</v>
      </c>
      <c r="K31" s="12">
        <v>68.37</v>
      </c>
      <c r="L31" s="13">
        <f t="shared" si="5"/>
        <v>195.34285714285784</v>
      </c>
      <c r="M31" s="12"/>
      <c r="N31" s="12"/>
      <c r="O31" s="12"/>
      <c r="P31" s="12"/>
      <c r="Q31" s="12"/>
      <c r="R31" s="14"/>
      <c r="S31" s="14"/>
      <c r="T31" s="12"/>
      <c r="U31" s="12"/>
      <c r="V31" s="14"/>
      <c r="W31" s="14"/>
      <c r="X31" s="12"/>
      <c r="Y31" s="12"/>
      <c r="Z31" s="12"/>
      <c r="AA31" s="12"/>
      <c r="AB31" s="12"/>
      <c r="AC31" s="12">
        <v>7</v>
      </c>
      <c r="AD31" s="12"/>
      <c r="AE31" s="12"/>
      <c r="AF31" s="12"/>
      <c r="AG31" s="12"/>
      <c r="AH31" s="12"/>
      <c r="AI31" s="12"/>
      <c r="AJ31" s="12"/>
      <c r="AK31" s="12"/>
      <c r="AL31" s="12"/>
      <c r="AM31" s="16"/>
    </row>
    <row r="32" spans="1:39" ht="25.05" customHeight="1">
      <c r="B32" s="15"/>
      <c r="C32" s="35"/>
      <c r="D32" s="23"/>
      <c r="E32" s="19" t="s">
        <v>327</v>
      </c>
      <c r="F32" s="9" t="s">
        <v>44</v>
      </c>
      <c r="G32" s="10">
        <v>0.8833333333333333</v>
      </c>
      <c r="H32" s="10">
        <v>0.8881944444444444</v>
      </c>
      <c r="I32" s="11">
        <f t="shared" si="4"/>
        <v>4.8611111111110938E-3</v>
      </c>
      <c r="J32" s="12">
        <v>3</v>
      </c>
      <c r="K32" s="12">
        <v>68.37</v>
      </c>
      <c r="L32" s="13">
        <f t="shared" si="5"/>
        <v>195.34285714285784</v>
      </c>
      <c r="M32" s="12"/>
      <c r="N32" s="12"/>
      <c r="O32" s="12"/>
      <c r="P32" s="12"/>
      <c r="Q32" s="12"/>
      <c r="R32" s="14"/>
      <c r="S32" s="14"/>
      <c r="T32" s="12"/>
      <c r="U32" s="12"/>
      <c r="V32" s="14"/>
      <c r="W32" s="14"/>
      <c r="X32" s="12"/>
      <c r="Y32" s="12"/>
      <c r="Z32" s="12"/>
      <c r="AA32" s="12"/>
      <c r="AB32" s="12">
        <v>7</v>
      </c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6"/>
    </row>
    <row r="33" spans="2:39" ht="25.05" customHeight="1">
      <c r="B33" s="15"/>
      <c r="C33" s="35"/>
      <c r="D33" s="23"/>
      <c r="E33" s="19" t="s">
        <v>328</v>
      </c>
      <c r="F33" s="9" t="s">
        <v>44</v>
      </c>
      <c r="G33" s="10">
        <v>0.88541666666666663</v>
      </c>
      <c r="H33" s="10">
        <v>0.89027777777777772</v>
      </c>
      <c r="I33" s="11">
        <f t="shared" si="4"/>
        <v>4.8611111111110938E-3</v>
      </c>
      <c r="J33" s="12">
        <v>3</v>
      </c>
      <c r="K33" s="12">
        <v>68.37</v>
      </c>
      <c r="L33" s="13">
        <f t="shared" si="5"/>
        <v>195.34285714285784</v>
      </c>
      <c r="M33" s="12"/>
      <c r="N33" s="12"/>
      <c r="O33" s="12"/>
      <c r="P33" s="12"/>
      <c r="Q33" s="12"/>
      <c r="R33" s="14"/>
      <c r="S33" s="14"/>
      <c r="T33" s="12"/>
      <c r="U33" s="12"/>
      <c r="V33" s="14"/>
      <c r="W33" s="14"/>
      <c r="X33" s="12"/>
      <c r="Y33" s="12"/>
      <c r="Z33" s="12"/>
      <c r="AA33" s="12"/>
      <c r="AB33" s="12"/>
      <c r="AC33" s="12">
        <v>7</v>
      </c>
      <c r="AD33" s="12"/>
      <c r="AE33" s="12"/>
      <c r="AF33" s="12"/>
      <c r="AG33" s="12"/>
      <c r="AH33" s="12"/>
      <c r="AI33" s="12"/>
      <c r="AJ33" s="12"/>
      <c r="AK33" s="12"/>
      <c r="AL33" s="12"/>
      <c r="AM33" s="16"/>
    </row>
    <row r="34" spans="2:39" ht="25.05" customHeight="1">
      <c r="B34" s="15"/>
      <c r="C34" s="35"/>
      <c r="D34" s="23"/>
      <c r="E34" s="19" t="s">
        <v>329</v>
      </c>
      <c r="F34" s="9" t="s">
        <v>44</v>
      </c>
      <c r="G34" s="10">
        <v>0.9</v>
      </c>
      <c r="H34" s="10">
        <v>0.90486111111111112</v>
      </c>
      <c r="I34" s="11">
        <f t="shared" si="4"/>
        <v>4.8611111111110938E-3</v>
      </c>
      <c r="J34" s="12">
        <v>3</v>
      </c>
      <c r="K34" s="12">
        <v>68.37</v>
      </c>
      <c r="L34" s="13">
        <f t="shared" si="5"/>
        <v>195.34285714285784</v>
      </c>
      <c r="M34" s="12"/>
      <c r="N34" s="12"/>
      <c r="O34" s="12"/>
      <c r="P34" s="12"/>
      <c r="Q34" s="12"/>
      <c r="R34" s="14"/>
      <c r="S34" s="14"/>
      <c r="T34" s="12"/>
      <c r="U34" s="12"/>
      <c r="V34" s="14"/>
      <c r="W34" s="14"/>
      <c r="X34" s="12"/>
      <c r="Y34" s="12"/>
      <c r="Z34" s="12"/>
      <c r="AA34" s="12"/>
      <c r="AB34" s="12">
        <v>7</v>
      </c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6"/>
    </row>
    <row r="35" spans="2:39" ht="25.05" customHeight="1">
      <c r="B35" s="15"/>
      <c r="C35" s="35"/>
      <c r="D35" s="23"/>
      <c r="E35" s="19" t="s">
        <v>330</v>
      </c>
      <c r="F35" s="9" t="s">
        <v>44</v>
      </c>
      <c r="G35" s="10">
        <v>0.90416666666666667</v>
      </c>
      <c r="H35" s="10">
        <v>0.90902777777777777</v>
      </c>
      <c r="I35" s="11">
        <f t="shared" si="4"/>
        <v>4.8611111111110938E-3</v>
      </c>
      <c r="J35" s="12">
        <v>3</v>
      </c>
      <c r="K35" s="12">
        <v>68.37</v>
      </c>
      <c r="L35" s="13">
        <f t="shared" si="5"/>
        <v>195.34285714285784</v>
      </c>
      <c r="M35" s="12"/>
      <c r="N35" s="12"/>
      <c r="O35" s="12"/>
      <c r="P35" s="12"/>
      <c r="Q35" s="12"/>
      <c r="R35" s="14"/>
      <c r="S35" s="14"/>
      <c r="T35" s="12"/>
      <c r="U35" s="12"/>
      <c r="V35" s="14"/>
      <c r="W35" s="14"/>
      <c r="X35" s="12"/>
      <c r="Y35" s="12"/>
      <c r="Z35" s="12"/>
      <c r="AA35" s="12"/>
      <c r="AB35" s="12"/>
      <c r="AC35" s="12">
        <v>7</v>
      </c>
      <c r="AD35" s="12"/>
      <c r="AE35" s="12"/>
      <c r="AF35" s="12"/>
      <c r="AG35" s="12"/>
      <c r="AH35" s="12"/>
      <c r="AI35" s="12"/>
      <c r="AJ35" s="12"/>
      <c r="AK35" s="12"/>
      <c r="AL35" s="12"/>
      <c r="AM35" s="16"/>
    </row>
    <row r="36" spans="2:39" ht="25.05" customHeight="1">
      <c r="B36" s="15"/>
      <c r="C36" s="35"/>
      <c r="D36" s="23"/>
      <c r="E36" s="19" t="s">
        <v>331</v>
      </c>
      <c r="F36" s="9" t="s">
        <v>44</v>
      </c>
      <c r="G36" s="10">
        <v>0.91666666666666663</v>
      </c>
      <c r="H36" s="10">
        <v>0.92152777777777772</v>
      </c>
      <c r="I36" s="11">
        <f t="shared" si="4"/>
        <v>4.8611111111110938E-3</v>
      </c>
      <c r="J36" s="12">
        <v>3</v>
      </c>
      <c r="K36" s="12">
        <v>68.37</v>
      </c>
      <c r="L36" s="13">
        <f t="shared" si="5"/>
        <v>195.34285714285784</v>
      </c>
      <c r="M36" s="12"/>
      <c r="N36" s="12"/>
      <c r="O36" s="12"/>
      <c r="P36" s="12"/>
      <c r="Q36" s="12"/>
      <c r="R36" s="14"/>
      <c r="S36" s="14"/>
      <c r="T36" s="12"/>
      <c r="U36" s="12"/>
      <c r="V36" s="14"/>
      <c r="W36" s="14"/>
      <c r="X36" s="12"/>
      <c r="Y36" s="12"/>
      <c r="Z36" s="12"/>
      <c r="AA36" s="12"/>
      <c r="AB36" s="12">
        <v>7</v>
      </c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6"/>
    </row>
    <row r="37" spans="2:39" ht="25.05" customHeight="1">
      <c r="B37" s="15"/>
      <c r="C37" s="35"/>
      <c r="D37" s="23"/>
      <c r="E37" s="19" t="s">
        <v>332</v>
      </c>
      <c r="F37" s="9" t="s">
        <v>44</v>
      </c>
      <c r="G37" s="10">
        <v>0.92361111111111116</v>
      </c>
      <c r="H37" s="10">
        <v>0.92847222222222225</v>
      </c>
      <c r="I37" s="11">
        <f t="shared" si="4"/>
        <v>4.8611111111110938E-3</v>
      </c>
      <c r="J37" s="12">
        <v>3</v>
      </c>
      <c r="K37" s="12">
        <v>68.37</v>
      </c>
      <c r="L37" s="13">
        <f t="shared" si="5"/>
        <v>195.34285714285784</v>
      </c>
      <c r="M37" s="12"/>
      <c r="N37" s="12"/>
      <c r="O37" s="12"/>
      <c r="P37" s="12"/>
      <c r="Q37" s="12"/>
      <c r="R37" s="14"/>
      <c r="S37" s="14"/>
      <c r="T37" s="12"/>
      <c r="U37" s="12"/>
      <c r="V37" s="14"/>
      <c r="W37" s="14"/>
      <c r="X37" s="12"/>
      <c r="Y37" s="12"/>
      <c r="Z37" s="12"/>
      <c r="AA37" s="12"/>
      <c r="AB37" s="12"/>
      <c r="AC37" s="12">
        <v>7</v>
      </c>
      <c r="AD37" s="12"/>
      <c r="AE37" s="12"/>
      <c r="AF37" s="12"/>
      <c r="AG37" s="12"/>
      <c r="AH37" s="12"/>
      <c r="AI37" s="12"/>
      <c r="AJ37" s="12"/>
      <c r="AK37" s="12"/>
      <c r="AL37" s="12"/>
      <c r="AM37" s="16"/>
    </row>
    <row r="38" spans="2:39" ht="25.05" customHeight="1">
      <c r="B38" s="15"/>
      <c r="C38" s="35"/>
      <c r="D38" s="23"/>
      <c r="E38" s="19" t="s">
        <v>333</v>
      </c>
      <c r="F38" s="9" t="s">
        <v>44</v>
      </c>
      <c r="G38" s="10">
        <v>0.87083333333333335</v>
      </c>
      <c r="H38" s="10">
        <v>0.87916666666666665</v>
      </c>
      <c r="I38" s="11">
        <f t="shared" si="4"/>
        <v>8.3333333333333037E-3</v>
      </c>
      <c r="J38" s="12">
        <v>3</v>
      </c>
      <c r="K38" s="12">
        <v>72.540000000000006</v>
      </c>
      <c r="L38" s="13">
        <f t="shared" si="5"/>
        <v>120.90000000000043</v>
      </c>
      <c r="M38" s="12"/>
      <c r="N38" s="12"/>
      <c r="O38" s="12"/>
      <c r="P38" s="12"/>
      <c r="Q38" s="12"/>
      <c r="R38" s="14"/>
      <c r="S38" s="14"/>
      <c r="T38" s="12"/>
      <c r="U38" s="12"/>
      <c r="V38" s="14">
        <v>2</v>
      </c>
      <c r="W38" s="14"/>
      <c r="X38" s="12">
        <v>12</v>
      </c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6"/>
    </row>
    <row r="39" spans="2:39" ht="25.05" customHeight="1">
      <c r="B39" s="15"/>
      <c r="C39" s="35"/>
      <c r="D39" s="23"/>
      <c r="E39" s="19" t="s">
        <v>334</v>
      </c>
      <c r="F39" s="9" t="s">
        <v>44</v>
      </c>
      <c r="G39" s="10">
        <v>0.87291666666666667</v>
      </c>
      <c r="H39" s="10">
        <v>0.88124999999999998</v>
      </c>
      <c r="I39" s="11">
        <f t="shared" si="4"/>
        <v>8.3333333333333037E-3</v>
      </c>
      <c r="J39" s="12">
        <v>3</v>
      </c>
      <c r="K39" s="12">
        <v>69.599999999999994</v>
      </c>
      <c r="L39" s="13">
        <f t="shared" si="5"/>
        <v>116.0000000000004</v>
      </c>
      <c r="M39" s="12"/>
      <c r="N39" s="12"/>
      <c r="O39" s="12"/>
      <c r="P39" s="12"/>
      <c r="Q39" s="12"/>
      <c r="R39" s="14"/>
      <c r="S39" s="14"/>
      <c r="T39" s="12"/>
      <c r="U39" s="12"/>
      <c r="V39" s="14">
        <v>2</v>
      </c>
      <c r="W39" s="14"/>
      <c r="X39" s="12"/>
      <c r="Y39" s="12">
        <v>12</v>
      </c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6"/>
    </row>
    <row r="40" spans="2:39" ht="25.05" customHeight="1">
      <c r="B40" s="15"/>
      <c r="C40" s="35"/>
      <c r="D40" s="23"/>
      <c r="E40" s="19" t="s">
        <v>335</v>
      </c>
      <c r="F40" s="9" t="s">
        <v>44</v>
      </c>
      <c r="G40" s="10">
        <v>0.8833333333333333</v>
      </c>
      <c r="H40" s="10">
        <v>0.89166666666666672</v>
      </c>
      <c r="I40" s="11">
        <f t="shared" si="4"/>
        <v>8.3333333333334147E-3</v>
      </c>
      <c r="J40" s="12">
        <v>3</v>
      </c>
      <c r="K40" s="12">
        <v>75.150000000000006</v>
      </c>
      <c r="L40" s="13">
        <f t="shared" si="5"/>
        <v>125.24999999999879</v>
      </c>
      <c r="M40" s="12"/>
      <c r="N40" s="12"/>
      <c r="O40" s="12"/>
      <c r="P40" s="12"/>
      <c r="Q40" s="12"/>
      <c r="R40" s="14"/>
      <c r="S40" s="14"/>
      <c r="T40" s="12"/>
      <c r="U40" s="12"/>
      <c r="V40" s="14"/>
      <c r="W40" s="14"/>
      <c r="X40" s="12">
        <v>12</v>
      </c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6"/>
    </row>
    <row r="41" spans="2:39" ht="25.05" customHeight="1">
      <c r="B41" s="15"/>
      <c r="C41" s="35"/>
      <c r="D41" s="23"/>
      <c r="E41" s="19" t="s">
        <v>336</v>
      </c>
      <c r="F41" s="9" t="s">
        <v>44</v>
      </c>
      <c r="G41" s="10">
        <v>0.88680555555555551</v>
      </c>
      <c r="H41" s="10">
        <v>0.89513888888888893</v>
      </c>
      <c r="I41" s="11">
        <f t="shared" si="4"/>
        <v>8.3333333333334147E-3</v>
      </c>
      <c r="J41" s="12">
        <v>3</v>
      </c>
      <c r="K41" s="12">
        <v>74.48</v>
      </c>
      <c r="L41" s="13">
        <f t="shared" si="5"/>
        <v>124.13333333333213</v>
      </c>
      <c r="M41" s="12"/>
      <c r="N41" s="12"/>
      <c r="O41" s="12"/>
      <c r="P41" s="12"/>
      <c r="Q41" s="12"/>
      <c r="R41" s="14"/>
      <c r="S41" s="14"/>
      <c r="T41" s="12"/>
      <c r="U41" s="12"/>
      <c r="V41" s="14"/>
      <c r="W41" s="14"/>
      <c r="X41" s="12"/>
      <c r="Y41" s="12">
        <v>12</v>
      </c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6"/>
    </row>
    <row r="42" spans="2:39" ht="25.05" customHeight="1">
      <c r="B42" s="15"/>
      <c r="C42" s="35"/>
      <c r="D42" s="23"/>
      <c r="E42" s="19" t="s">
        <v>337</v>
      </c>
      <c r="F42" s="9" t="s">
        <v>44</v>
      </c>
      <c r="G42" s="10">
        <v>0.89722222222222225</v>
      </c>
      <c r="H42" s="10">
        <v>0.90555555555555556</v>
      </c>
      <c r="I42" s="11">
        <f t="shared" si="4"/>
        <v>8.3333333333333037E-3</v>
      </c>
      <c r="J42" s="12">
        <v>3</v>
      </c>
      <c r="K42" s="12">
        <v>73.55</v>
      </c>
      <c r="L42" s="13">
        <f t="shared" si="5"/>
        <v>122.58333333333377</v>
      </c>
      <c r="M42" s="12"/>
      <c r="N42" s="12"/>
      <c r="O42" s="12"/>
      <c r="P42" s="12"/>
      <c r="Q42" s="12"/>
      <c r="R42" s="14"/>
      <c r="S42" s="14"/>
      <c r="T42" s="12"/>
      <c r="U42" s="12"/>
      <c r="V42" s="14"/>
      <c r="W42" s="14">
        <v>2</v>
      </c>
      <c r="X42" s="12">
        <v>12</v>
      </c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6"/>
    </row>
    <row r="43" spans="2:39" ht="25.05" customHeight="1">
      <c r="B43" s="15"/>
      <c r="C43" s="35"/>
      <c r="D43" s="23"/>
      <c r="E43" s="19" t="s">
        <v>338</v>
      </c>
      <c r="F43" s="9" t="s">
        <v>44</v>
      </c>
      <c r="G43" s="10">
        <v>0.9</v>
      </c>
      <c r="H43" s="10">
        <v>0.90833333333333333</v>
      </c>
      <c r="I43" s="11">
        <f t="shared" si="4"/>
        <v>8.3333333333333037E-3</v>
      </c>
      <c r="J43" s="12">
        <v>3</v>
      </c>
      <c r="K43" s="12">
        <v>72.709999999999994</v>
      </c>
      <c r="L43" s="13">
        <f t="shared" si="5"/>
        <v>121.18333333333375</v>
      </c>
      <c r="M43" s="12"/>
      <c r="N43" s="12"/>
      <c r="O43" s="12"/>
      <c r="P43" s="12"/>
      <c r="Q43" s="12"/>
      <c r="R43" s="14"/>
      <c r="S43" s="14"/>
      <c r="T43" s="12"/>
      <c r="U43" s="12"/>
      <c r="V43" s="14"/>
      <c r="W43" s="14">
        <v>2</v>
      </c>
      <c r="X43" s="12"/>
      <c r="Y43" s="12">
        <v>12</v>
      </c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6"/>
    </row>
    <row r="44" spans="2:39" ht="25.05" customHeight="1">
      <c r="B44" s="15"/>
      <c r="C44" s="35"/>
      <c r="D44" s="23"/>
      <c r="E44" s="19" t="s">
        <v>339</v>
      </c>
      <c r="F44" s="9" t="s">
        <v>44</v>
      </c>
      <c r="G44" s="10">
        <v>0.91736111111111107</v>
      </c>
      <c r="H44" s="10">
        <v>0.92569444444444449</v>
      </c>
      <c r="I44" s="11">
        <f t="shared" si="4"/>
        <v>8.3333333333334147E-3</v>
      </c>
      <c r="J44" s="12">
        <v>3</v>
      </c>
      <c r="K44" s="12">
        <v>73.3</v>
      </c>
      <c r="L44" s="13">
        <f t="shared" si="5"/>
        <v>122.16666666666548</v>
      </c>
      <c r="M44" s="12"/>
      <c r="N44" s="12"/>
      <c r="O44" s="12"/>
      <c r="P44" s="12"/>
      <c r="Q44" s="12"/>
      <c r="R44" s="14"/>
      <c r="S44" s="14"/>
      <c r="T44" s="12"/>
      <c r="U44" s="12"/>
      <c r="V44" s="14">
        <v>2</v>
      </c>
      <c r="W44" s="14"/>
      <c r="X44" s="12">
        <v>12</v>
      </c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6"/>
    </row>
    <row r="45" spans="2:39" ht="25.05" customHeight="1">
      <c r="B45" s="15"/>
      <c r="C45" s="35"/>
      <c r="D45" s="23"/>
      <c r="E45" s="19" t="s">
        <v>340</v>
      </c>
      <c r="F45" s="9" t="s">
        <v>44</v>
      </c>
      <c r="G45" s="10">
        <v>0.92013888888888884</v>
      </c>
      <c r="H45" s="10">
        <v>0.92847222222222225</v>
      </c>
      <c r="I45" s="11">
        <f t="shared" si="4"/>
        <v>8.3333333333334147E-3</v>
      </c>
      <c r="J45" s="12">
        <v>3</v>
      </c>
      <c r="K45" s="12">
        <v>73.61</v>
      </c>
      <c r="L45" s="13">
        <f t="shared" si="5"/>
        <v>122.68333333333213</v>
      </c>
      <c r="M45" s="12"/>
      <c r="N45" s="12"/>
      <c r="O45" s="12"/>
      <c r="P45" s="12"/>
      <c r="Q45" s="12"/>
      <c r="R45" s="14"/>
      <c r="S45" s="14"/>
      <c r="T45" s="12"/>
      <c r="U45" s="12"/>
      <c r="V45" s="14">
        <v>2</v>
      </c>
      <c r="W45" s="14"/>
      <c r="X45" s="12"/>
      <c r="Y45" s="12">
        <v>12</v>
      </c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6"/>
    </row>
    <row r="46" spans="2:39" ht="25.05" customHeight="1">
      <c r="B46" s="15"/>
      <c r="C46" s="35"/>
      <c r="D46" s="23"/>
      <c r="E46" s="19" t="s">
        <v>341</v>
      </c>
      <c r="F46" s="9" t="s">
        <v>44</v>
      </c>
      <c r="G46" s="10">
        <v>0.93263888888888891</v>
      </c>
      <c r="H46" s="10">
        <v>0.94097222222222221</v>
      </c>
      <c r="I46" s="11">
        <f t="shared" si="4"/>
        <v>8.3333333333333037E-3</v>
      </c>
      <c r="J46" s="12">
        <v>3</v>
      </c>
      <c r="K46" s="12">
        <v>74.709999999999994</v>
      </c>
      <c r="L46" s="13">
        <f t="shared" si="5"/>
        <v>124.51666666666711</v>
      </c>
      <c r="M46" s="12"/>
      <c r="N46" s="12"/>
      <c r="O46" s="12"/>
      <c r="P46" s="12"/>
      <c r="Q46" s="12"/>
      <c r="R46" s="14"/>
      <c r="S46" s="14"/>
      <c r="T46" s="12"/>
      <c r="U46" s="12"/>
      <c r="V46" s="14"/>
      <c r="W46" s="14"/>
      <c r="X46" s="12">
        <v>12</v>
      </c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6"/>
    </row>
    <row r="47" spans="2:39" ht="25.05" customHeight="1">
      <c r="B47" s="15"/>
      <c r="C47" s="35"/>
      <c r="D47" s="23"/>
      <c r="E47" s="19" t="s">
        <v>342</v>
      </c>
      <c r="F47" s="9" t="s">
        <v>44</v>
      </c>
      <c r="G47" s="10">
        <v>0.93611111111111112</v>
      </c>
      <c r="H47" s="10">
        <v>0.94444444444444442</v>
      </c>
      <c r="I47" s="11">
        <f t="shared" si="4"/>
        <v>8.3333333333333037E-3</v>
      </c>
      <c r="J47" s="12">
        <v>3</v>
      </c>
      <c r="K47" s="12">
        <v>73.39</v>
      </c>
      <c r="L47" s="13">
        <f t="shared" si="5"/>
        <v>122.3166666666671</v>
      </c>
      <c r="M47" s="12"/>
      <c r="N47" s="12"/>
      <c r="O47" s="12"/>
      <c r="P47" s="12"/>
      <c r="Q47" s="12"/>
      <c r="R47" s="14"/>
      <c r="S47" s="14"/>
      <c r="T47" s="12"/>
      <c r="U47" s="12"/>
      <c r="V47" s="14"/>
      <c r="W47" s="14"/>
      <c r="X47" s="12"/>
      <c r="Y47" s="12">
        <v>12</v>
      </c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6"/>
    </row>
    <row r="48" spans="2:39" ht="25.05" customHeight="1">
      <c r="B48" s="15"/>
      <c r="C48" s="35"/>
      <c r="D48" s="23"/>
      <c r="E48" s="19"/>
      <c r="F48" s="9" t="s">
        <v>44</v>
      </c>
      <c r="G48" s="10"/>
      <c r="H48" s="10"/>
      <c r="I48" s="11"/>
      <c r="J48" s="12"/>
      <c r="K48" s="12"/>
      <c r="L48" s="13"/>
      <c r="M48" s="12"/>
      <c r="N48" s="12"/>
      <c r="O48" s="12"/>
      <c r="P48" s="12"/>
      <c r="Q48" s="12"/>
      <c r="R48" s="14"/>
      <c r="S48" s="14"/>
      <c r="T48" s="12"/>
      <c r="U48" s="12"/>
      <c r="V48" s="14"/>
      <c r="W48" s="14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6"/>
    </row>
    <row r="49" spans="1:39" ht="25.05" customHeight="1">
      <c r="B49" s="15"/>
      <c r="C49" s="35"/>
      <c r="D49" s="23" t="s">
        <v>77</v>
      </c>
      <c r="E49" s="19" t="s">
        <v>343</v>
      </c>
      <c r="F49" s="9" t="s">
        <v>44</v>
      </c>
      <c r="G49" s="10">
        <v>0.83263888888888893</v>
      </c>
      <c r="H49" s="10">
        <v>0.89513888888888893</v>
      </c>
      <c r="I49" s="11">
        <f t="shared" si="4"/>
        <v>6.25E-2</v>
      </c>
      <c r="J49" s="12">
        <v>5</v>
      </c>
      <c r="K49" s="12">
        <v>119.08</v>
      </c>
      <c r="L49" s="13">
        <f t="shared" ref="L49:L57" si="6">IFERROR(((K49/(J49*I49)/24)),"0")</f>
        <v>15.877333333333333</v>
      </c>
      <c r="M49" s="12"/>
      <c r="N49" s="12"/>
      <c r="O49" s="12"/>
      <c r="P49" s="12"/>
      <c r="Q49" s="12"/>
      <c r="R49" s="14"/>
      <c r="S49" s="14"/>
      <c r="T49" s="12"/>
      <c r="U49" s="12"/>
      <c r="V49" s="14"/>
      <c r="W49" s="14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>
        <v>22.5</v>
      </c>
      <c r="AI49" s="12">
        <v>22.5</v>
      </c>
      <c r="AJ49" s="12">
        <v>22.5</v>
      </c>
      <c r="AK49" s="12">
        <v>22.5</v>
      </c>
      <c r="AL49" s="12"/>
      <c r="AM49" s="16"/>
    </row>
    <row r="50" spans="1:39" ht="25.05" customHeight="1">
      <c r="B50" s="15"/>
      <c r="C50" s="35"/>
      <c r="D50" s="23"/>
      <c r="E50" s="19" t="s">
        <v>344</v>
      </c>
      <c r="F50" s="9" t="s">
        <v>44</v>
      </c>
      <c r="G50" s="10">
        <v>0.89583333333333337</v>
      </c>
      <c r="H50" s="10">
        <v>0.95694444444444449</v>
      </c>
      <c r="I50" s="11">
        <f t="shared" si="4"/>
        <v>6.1111111111111116E-2</v>
      </c>
      <c r="J50" s="12">
        <v>5</v>
      </c>
      <c r="K50" s="12">
        <v>121.7</v>
      </c>
      <c r="L50" s="13">
        <f t="shared" si="6"/>
        <v>16.595454545454544</v>
      </c>
      <c r="M50" s="12"/>
      <c r="N50" s="12"/>
      <c r="O50" s="12"/>
      <c r="P50" s="12"/>
      <c r="Q50" s="12"/>
      <c r="R50" s="14"/>
      <c r="S50" s="14"/>
      <c r="T50" s="12"/>
      <c r="U50" s="12"/>
      <c r="V50" s="14"/>
      <c r="W50" s="14">
        <v>2</v>
      </c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>
        <v>22</v>
      </c>
      <c r="AI50" s="12">
        <v>22</v>
      </c>
      <c r="AJ50" s="12">
        <v>22</v>
      </c>
      <c r="AK50" s="12">
        <v>22</v>
      </c>
      <c r="AL50" s="12"/>
      <c r="AM50" s="16"/>
    </row>
    <row r="51" spans="1:39" ht="25.05" customHeight="1">
      <c r="B51" s="15"/>
      <c r="C51" s="35"/>
      <c r="D51" s="23"/>
      <c r="E51" s="19" t="s">
        <v>345</v>
      </c>
      <c r="F51" s="9" t="s">
        <v>44</v>
      </c>
      <c r="G51" s="10">
        <v>46106.957638888889</v>
      </c>
      <c r="H51" s="10">
        <v>46107.013194444444</v>
      </c>
      <c r="I51" s="11">
        <f t="shared" si="4"/>
        <v>5.5555555554747116E-2</v>
      </c>
      <c r="J51" s="12">
        <v>5</v>
      </c>
      <c r="K51" s="12">
        <v>124.1</v>
      </c>
      <c r="L51" s="13">
        <f t="shared" si="6"/>
        <v>18.615000000270882</v>
      </c>
      <c r="M51" s="12"/>
      <c r="N51" s="12"/>
      <c r="O51" s="12"/>
      <c r="P51" s="12"/>
      <c r="Q51" s="12"/>
      <c r="R51" s="14"/>
      <c r="S51" s="14"/>
      <c r="T51" s="12"/>
      <c r="U51" s="12"/>
      <c r="V51" s="14"/>
      <c r="W51" s="14">
        <v>2</v>
      </c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>
        <v>20</v>
      </c>
      <c r="AI51" s="12">
        <v>20</v>
      </c>
      <c r="AJ51" s="12">
        <v>20</v>
      </c>
      <c r="AK51" s="12">
        <v>20</v>
      </c>
      <c r="AL51" s="12"/>
      <c r="AM51" s="16"/>
    </row>
    <row r="52" spans="1:39" ht="25.05" customHeight="1">
      <c r="B52" s="15"/>
      <c r="C52" s="35"/>
      <c r="D52" s="23"/>
      <c r="E52" s="19" t="s">
        <v>346</v>
      </c>
      <c r="F52" s="9" t="s">
        <v>44</v>
      </c>
      <c r="G52" s="10">
        <v>2.013888888888889E-2</v>
      </c>
      <c r="H52" s="10">
        <v>7.2916666666666671E-2</v>
      </c>
      <c r="I52" s="11">
        <f t="shared" si="4"/>
        <v>5.2777777777777785E-2</v>
      </c>
      <c r="J52" s="12">
        <v>5</v>
      </c>
      <c r="K52" s="12">
        <v>126.69</v>
      </c>
      <c r="L52" s="13">
        <f t="shared" si="6"/>
        <v>20.003684210526313</v>
      </c>
      <c r="M52" s="12"/>
      <c r="N52" s="12"/>
      <c r="O52" s="12"/>
      <c r="P52" s="12"/>
      <c r="Q52" s="12"/>
      <c r="R52" s="14"/>
      <c r="S52" s="14"/>
      <c r="T52" s="12"/>
      <c r="U52" s="12"/>
      <c r="V52" s="14"/>
      <c r="W52" s="14">
        <v>2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>
        <v>19</v>
      </c>
      <c r="AI52" s="12">
        <v>19</v>
      </c>
      <c r="AJ52" s="12">
        <v>19</v>
      </c>
      <c r="AK52" s="12">
        <v>19</v>
      </c>
      <c r="AL52" s="12"/>
      <c r="AM52" s="16"/>
    </row>
    <row r="53" spans="1:39" ht="25.05" customHeight="1">
      <c r="B53" s="15"/>
      <c r="C53" s="35"/>
      <c r="D53" s="23"/>
      <c r="E53" s="19" t="s">
        <v>347</v>
      </c>
      <c r="F53" s="9" t="s">
        <v>44</v>
      </c>
      <c r="G53" s="10">
        <v>7.3611111111111113E-2</v>
      </c>
      <c r="H53" s="10">
        <v>0.12916666666666668</v>
      </c>
      <c r="I53" s="11">
        <f t="shared" si="4"/>
        <v>5.5555555555555566E-2</v>
      </c>
      <c r="J53" s="12">
        <v>5</v>
      </c>
      <c r="K53" s="12">
        <v>127.02</v>
      </c>
      <c r="L53" s="13">
        <f t="shared" si="6"/>
        <v>19.052999999999994</v>
      </c>
      <c r="M53" s="12"/>
      <c r="N53" s="12"/>
      <c r="O53" s="12"/>
      <c r="P53" s="12"/>
      <c r="Q53" s="12"/>
      <c r="R53" s="14"/>
      <c r="S53" s="14"/>
      <c r="T53" s="12"/>
      <c r="U53" s="12"/>
      <c r="V53" s="14"/>
      <c r="W53" s="14">
        <v>2</v>
      </c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>
        <v>20</v>
      </c>
      <c r="AI53" s="12">
        <v>20</v>
      </c>
      <c r="AJ53" s="12">
        <v>20</v>
      </c>
      <c r="AK53" s="12">
        <v>20</v>
      </c>
      <c r="AL53" s="12"/>
      <c r="AM53" s="16"/>
    </row>
    <row r="54" spans="1:39" ht="25.05" customHeight="1">
      <c r="B54" s="15"/>
      <c r="C54" s="35"/>
      <c r="D54" s="23"/>
      <c r="E54" s="19" t="s">
        <v>348</v>
      </c>
      <c r="F54" s="9" t="s">
        <v>44</v>
      </c>
      <c r="G54" s="10">
        <v>0.12986111111111112</v>
      </c>
      <c r="H54" s="10">
        <v>0.18541666666666667</v>
      </c>
      <c r="I54" s="11">
        <f t="shared" si="4"/>
        <v>5.5555555555555552E-2</v>
      </c>
      <c r="J54" s="12">
        <v>5</v>
      </c>
      <c r="K54" s="12">
        <v>124.98</v>
      </c>
      <c r="L54" s="13">
        <f t="shared" si="6"/>
        <v>18.747</v>
      </c>
      <c r="M54" s="12"/>
      <c r="N54" s="12"/>
      <c r="O54" s="12"/>
      <c r="P54" s="12"/>
      <c r="Q54" s="12"/>
      <c r="R54" s="14"/>
      <c r="S54" s="14"/>
      <c r="T54" s="12"/>
      <c r="U54" s="12"/>
      <c r="V54" s="14"/>
      <c r="W54" s="14">
        <v>2</v>
      </c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>
        <v>20</v>
      </c>
      <c r="AI54" s="12">
        <v>20</v>
      </c>
      <c r="AJ54" s="12">
        <v>20</v>
      </c>
      <c r="AK54" s="12">
        <v>20</v>
      </c>
      <c r="AL54" s="12"/>
      <c r="AM54" s="16"/>
    </row>
    <row r="55" spans="1:39" ht="25.05" customHeight="1">
      <c r="B55" s="15"/>
      <c r="C55" s="35"/>
      <c r="D55" s="23"/>
      <c r="E55" s="19" t="s">
        <v>349</v>
      </c>
      <c r="F55" s="9" t="s">
        <v>44</v>
      </c>
      <c r="G55" s="10">
        <v>0.18611111111111112</v>
      </c>
      <c r="H55" s="10">
        <v>0.19930555555555557</v>
      </c>
      <c r="I55" s="11">
        <f t="shared" si="4"/>
        <v>1.3194444444444453E-2</v>
      </c>
      <c r="J55" s="12">
        <v>5</v>
      </c>
      <c r="K55" s="12">
        <v>28.17</v>
      </c>
      <c r="L55" s="13">
        <f t="shared" si="6"/>
        <v>17.791578947368411</v>
      </c>
      <c r="M55" s="12"/>
      <c r="N55" s="12"/>
      <c r="O55" s="12"/>
      <c r="P55" s="12"/>
      <c r="Q55" s="12"/>
      <c r="R55" s="14"/>
      <c r="S55" s="14"/>
      <c r="T55" s="12"/>
      <c r="U55" s="12"/>
      <c r="V55" s="14"/>
      <c r="W55" s="14">
        <v>2</v>
      </c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>
        <v>4.75</v>
      </c>
      <c r="AI55" s="12">
        <v>4.75</v>
      </c>
      <c r="AJ55" s="12">
        <v>4.75</v>
      </c>
      <c r="AK55" s="12">
        <v>4.75</v>
      </c>
      <c r="AL55" s="12"/>
      <c r="AM55" s="16"/>
    </row>
    <row r="56" spans="1:39" ht="25.05" customHeight="1">
      <c r="B56" s="15"/>
      <c r="C56" s="35"/>
      <c r="D56" s="23"/>
      <c r="E56" s="19"/>
      <c r="F56" s="9" t="s">
        <v>44</v>
      </c>
      <c r="G56" s="10"/>
      <c r="H56" s="10"/>
      <c r="I56" s="11">
        <f t="shared" si="4"/>
        <v>0</v>
      </c>
      <c r="J56" s="12"/>
      <c r="K56" s="12"/>
      <c r="L56" s="13" t="str">
        <f t="shared" si="6"/>
        <v>0</v>
      </c>
      <c r="M56" s="12"/>
      <c r="N56" s="12"/>
      <c r="O56" s="12"/>
      <c r="P56" s="12"/>
      <c r="Q56" s="12"/>
      <c r="R56" s="14"/>
      <c r="S56" s="14"/>
      <c r="T56" s="12"/>
      <c r="U56" s="12"/>
      <c r="V56" s="14"/>
      <c r="W56" s="14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6"/>
    </row>
    <row r="57" spans="1:39" ht="25.05" customHeight="1">
      <c r="B57" s="15"/>
      <c r="C57" s="35"/>
      <c r="D57" s="23"/>
      <c r="E57" s="19"/>
      <c r="F57" s="9" t="s">
        <v>44</v>
      </c>
      <c r="G57" s="10"/>
      <c r="H57" s="10"/>
      <c r="I57" s="11">
        <v>4</v>
      </c>
      <c r="J57" s="12"/>
      <c r="K57" s="12"/>
      <c r="L57" s="13" t="str">
        <f t="shared" si="6"/>
        <v>0</v>
      </c>
      <c r="M57" s="12"/>
      <c r="N57" s="12"/>
      <c r="O57" s="12"/>
      <c r="P57" s="12"/>
      <c r="Q57" s="12"/>
      <c r="R57" s="14"/>
      <c r="S57" s="14"/>
      <c r="T57" s="12"/>
      <c r="U57" s="12"/>
      <c r="V57" s="14"/>
      <c r="W57" s="14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6"/>
    </row>
    <row r="58" spans="1:39" s="34" customFormat="1" ht="25.5" customHeight="1" thickBot="1">
      <c r="A58" s="1"/>
      <c r="B58" s="59"/>
      <c r="C58" s="60"/>
      <c r="D58" s="61"/>
      <c r="E58" s="62"/>
      <c r="F58" s="62"/>
      <c r="G58" s="63"/>
      <c r="H58" s="63"/>
      <c r="I58" s="64"/>
      <c r="J58" s="65"/>
      <c r="K58" s="66">
        <f t="shared" ref="K58:AM58" si="7">SUM(K20:K57)</f>
        <v>2727.5399999999995</v>
      </c>
      <c r="L58" s="33">
        <f t="shared" si="7"/>
        <v>3573.9701740312044</v>
      </c>
      <c r="M58" s="65">
        <f t="shared" si="7"/>
        <v>0</v>
      </c>
      <c r="N58" s="65">
        <f t="shared" si="7"/>
        <v>0</v>
      </c>
      <c r="O58" s="65">
        <f t="shared" si="7"/>
        <v>0</v>
      </c>
      <c r="P58" s="65">
        <f t="shared" si="7"/>
        <v>0</v>
      </c>
      <c r="Q58" s="65">
        <f t="shared" si="7"/>
        <v>0</v>
      </c>
      <c r="R58" s="65">
        <f t="shared" si="7"/>
        <v>0</v>
      </c>
      <c r="S58" s="65">
        <f t="shared" si="7"/>
        <v>0</v>
      </c>
      <c r="T58" s="65">
        <f t="shared" si="7"/>
        <v>0</v>
      </c>
      <c r="U58" s="65">
        <f t="shared" si="7"/>
        <v>0</v>
      </c>
      <c r="V58" s="65">
        <f t="shared" si="7"/>
        <v>20</v>
      </c>
      <c r="W58" s="65">
        <f t="shared" si="7"/>
        <v>16</v>
      </c>
      <c r="X58" s="65">
        <f t="shared" si="7"/>
        <v>60</v>
      </c>
      <c r="Y58" s="65">
        <f t="shared" si="7"/>
        <v>60</v>
      </c>
      <c r="Z58" s="65">
        <f t="shared" si="7"/>
        <v>0</v>
      </c>
      <c r="AA58" s="65">
        <f t="shared" si="7"/>
        <v>0</v>
      </c>
      <c r="AB58" s="65">
        <f t="shared" si="7"/>
        <v>35</v>
      </c>
      <c r="AC58" s="65">
        <f t="shared" si="7"/>
        <v>35</v>
      </c>
      <c r="AD58" s="65">
        <f t="shared" si="7"/>
        <v>98</v>
      </c>
      <c r="AE58" s="65">
        <f t="shared" si="7"/>
        <v>104</v>
      </c>
      <c r="AF58" s="65">
        <f t="shared" si="7"/>
        <v>0</v>
      </c>
      <c r="AG58" s="65">
        <f t="shared" si="7"/>
        <v>0</v>
      </c>
      <c r="AH58" s="65">
        <f t="shared" si="7"/>
        <v>128.25</v>
      </c>
      <c r="AI58" s="65">
        <f t="shared" si="7"/>
        <v>128.25</v>
      </c>
      <c r="AJ58" s="65">
        <f t="shared" si="7"/>
        <v>128.25</v>
      </c>
      <c r="AK58" s="65">
        <f t="shared" si="7"/>
        <v>128.25</v>
      </c>
      <c r="AL58" s="65">
        <f t="shared" si="7"/>
        <v>0</v>
      </c>
      <c r="AM58" s="65">
        <f t="shared" si="7"/>
        <v>0</v>
      </c>
    </row>
    <row r="59" spans="1:39" ht="38.1" customHeight="1" thickBot="1">
      <c r="B59" s="67" t="s">
        <v>161</v>
      </c>
      <c r="C59" s="68"/>
      <c r="D59" s="68"/>
      <c r="E59" s="68"/>
      <c r="F59" s="68"/>
      <c r="G59" s="68"/>
      <c r="H59" s="68"/>
      <c r="I59" s="68"/>
      <c r="J59" s="68"/>
      <c r="K59" s="69">
        <f>K16+K19+K58</f>
        <v>4238.0999999999995</v>
      </c>
      <c r="L59" s="69">
        <f>L16+L19+L58</f>
        <v>3851.5706204072599</v>
      </c>
      <c r="M59" s="70">
        <f t="shared" ref="M59:AM59" si="8">(M16+M19+M58)/(480-15-30)</f>
        <v>0.23908045977011494</v>
      </c>
      <c r="N59" s="70">
        <f t="shared" si="8"/>
        <v>0</v>
      </c>
      <c r="O59" s="70">
        <f t="shared" si="8"/>
        <v>0</v>
      </c>
      <c r="P59" s="70">
        <f t="shared" si="8"/>
        <v>0</v>
      </c>
      <c r="Q59" s="70">
        <f t="shared" si="8"/>
        <v>0</v>
      </c>
      <c r="R59" s="70">
        <f t="shared" si="8"/>
        <v>0</v>
      </c>
      <c r="S59" s="70">
        <f t="shared" si="8"/>
        <v>1.4091954022988507</v>
      </c>
      <c r="T59" s="70">
        <f t="shared" si="8"/>
        <v>0</v>
      </c>
      <c r="U59" s="70">
        <f t="shared" si="8"/>
        <v>0</v>
      </c>
      <c r="V59" s="70">
        <f t="shared" si="8"/>
        <v>4.5977011494252873E-2</v>
      </c>
      <c r="W59" s="70">
        <f t="shared" si="8"/>
        <v>3.6781609195402298E-2</v>
      </c>
      <c r="X59" s="70">
        <f t="shared" si="8"/>
        <v>0.13793103448275862</v>
      </c>
      <c r="Y59" s="70">
        <f t="shared" si="8"/>
        <v>0.13793103448275862</v>
      </c>
      <c r="Z59" s="70">
        <f t="shared" si="8"/>
        <v>0</v>
      </c>
      <c r="AA59" s="70">
        <f t="shared" si="8"/>
        <v>0</v>
      </c>
      <c r="AB59" s="70">
        <f t="shared" si="8"/>
        <v>8.0459770114942528E-2</v>
      </c>
      <c r="AC59" s="70">
        <f t="shared" si="8"/>
        <v>8.0459770114942528E-2</v>
      </c>
      <c r="AD59" s="70">
        <f t="shared" si="8"/>
        <v>0.22528735632183908</v>
      </c>
      <c r="AE59" s="70">
        <f t="shared" si="8"/>
        <v>0.23908045977011494</v>
      </c>
      <c r="AF59" s="70">
        <f t="shared" si="8"/>
        <v>0</v>
      </c>
      <c r="AG59" s="70">
        <f t="shared" si="8"/>
        <v>0</v>
      </c>
      <c r="AH59" s="70">
        <f t="shared" si="8"/>
        <v>0.29482758620689653</v>
      </c>
      <c r="AI59" s="70">
        <f t="shared" si="8"/>
        <v>0.29482758620689653</v>
      </c>
      <c r="AJ59" s="70">
        <f t="shared" si="8"/>
        <v>0.29482758620689653</v>
      </c>
      <c r="AK59" s="70">
        <f t="shared" si="8"/>
        <v>0.29482758620689653</v>
      </c>
      <c r="AL59" s="70">
        <f t="shared" si="8"/>
        <v>0</v>
      </c>
      <c r="AM59" s="70">
        <f t="shared" si="8"/>
        <v>0</v>
      </c>
    </row>
    <row r="60" spans="1:39" ht="25.05" customHeight="1">
      <c r="B60" s="71"/>
      <c r="C60" s="71"/>
      <c r="D60" s="71"/>
      <c r="E60" s="72"/>
      <c r="F60" s="72"/>
      <c r="G60" s="72"/>
      <c r="H60" s="72"/>
      <c r="I60" s="73"/>
      <c r="J60" s="73"/>
      <c r="K60" s="72"/>
      <c r="L60" s="74"/>
      <c r="M60" s="74"/>
      <c r="N60" s="74"/>
      <c r="O60" s="74"/>
      <c r="P60" s="74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</row>
    <row r="61" spans="1:39" ht="25.05" customHeight="1">
      <c r="B61" s="71"/>
      <c r="C61" s="71"/>
      <c r="D61" s="71"/>
      <c r="E61" s="72"/>
      <c r="F61" s="72"/>
      <c r="G61" s="72"/>
      <c r="H61" s="72"/>
      <c r="I61" s="75" t="s">
        <v>162</v>
      </c>
      <c r="J61" s="73"/>
      <c r="K61" s="72"/>
      <c r="L61" s="74"/>
      <c r="M61" s="74"/>
      <c r="N61" s="74"/>
      <c r="O61" s="74"/>
      <c r="P61" s="74"/>
      <c r="Q61" s="72"/>
      <c r="R61" s="72"/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</row>
    <row r="62" spans="1:39" ht="25.05" customHeight="1">
      <c r="B62" s="71"/>
      <c r="C62" s="71"/>
      <c r="D62" s="71"/>
      <c r="E62" s="72"/>
      <c r="F62" s="72"/>
      <c r="G62" s="72"/>
      <c r="H62" s="72"/>
      <c r="I62" s="76" t="s">
        <v>163</v>
      </c>
      <c r="J62" s="10">
        <v>0</v>
      </c>
      <c r="K62" s="12">
        <v>8</v>
      </c>
      <c r="L62" s="12" t="s">
        <v>164</v>
      </c>
      <c r="M62" s="74"/>
      <c r="N62" s="16">
        <v>3</v>
      </c>
      <c r="O62" s="16"/>
      <c r="P62" s="16"/>
      <c r="Q62" s="77" t="s">
        <v>165</v>
      </c>
      <c r="R62" s="78"/>
      <c r="S62" s="72"/>
      <c r="T62" s="72"/>
      <c r="U62" s="72"/>
      <c r="V62" s="72"/>
      <c r="W62" s="72"/>
      <c r="X62" s="72"/>
      <c r="Y62" s="72"/>
      <c r="Z62" s="72"/>
      <c r="AA62" s="72"/>
      <c r="AB62" s="72"/>
      <c r="AD62" s="72"/>
      <c r="AE62" s="72"/>
      <c r="AF62" s="72"/>
      <c r="AG62" s="72"/>
      <c r="AH62" s="72"/>
      <c r="AI62" s="72"/>
      <c r="AJ62" s="72"/>
    </row>
    <row r="63" spans="1:39" ht="25.05" customHeight="1">
      <c r="B63" s="71"/>
      <c r="C63" s="71"/>
      <c r="D63" s="71"/>
      <c r="E63" s="72"/>
      <c r="F63" s="72"/>
      <c r="G63" s="72"/>
      <c r="H63" s="72"/>
      <c r="I63" s="76" t="s">
        <v>166</v>
      </c>
      <c r="J63" s="10">
        <v>0</v>
      </c>
      <c r="K63" s="12">
        <v>0</v>
      </c>
      <c r="L63" s="12" t="s">
        <v>164</v>
      </c>
      <c r="M63" s="74"/>
      <c r="N63" s="16">
        <v>0</v>
      </c>
      <c r="O63" s="16"/>
      <c r="P63" s="16"/>
      <c r="Q63" s="77" t="s">
        <v>167</v>
      </c>
      <c r="R63" s="78"/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</row>
    <row r="64" spans="1:39" ht="25.05" customHeight="1">
      <c r="B64" s="71"/>
      <c r="C64" s="71"/>
      <c r="D64" s="71"/>
      <c r="E64" s="72"/>
      <c r="F64" s="72"/>
      <c r="G64" s="72"/>
      <c r="H64" s="72"/>
      <c r="I64" s="76" t="s">
        <v>168</v>
      </c>
      <c r="J64" s="10">
        <v>0</v>
      </c>
      <c r="K64" s="12">
        <v>15</v>
      </c>
      <c r="L64" s="12" t="s">
        <v>164</v>
      </c>
      <c r="M64" s="74"/>
      <c r="N64" s="16">
        <v>1</v>
      </c>
      <c r="O64" s="16"/>
      <c r="P64" s="16"/>
      <c r="Q64" s="77" t="s">
        <v>169</v>
      </c>
      <c r="R64" s="78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</row>
    <row r="65" spans="2:36" ht="25.05" customHeight="1">
      <c r="B65" s="71"/>
      <c r="C65" s="71"/>
      <c r="D65" s="71"/>
      <c r="E65" s="72"/>
      <c r="F65" s="72"/>
      <c r="G65" s="72"/>
      <c r="H65" s="72"/>
      <c r="I65" s="79" t="s">
        <v>170</v>
      </c>
      <c r="J65" s="52">
        <v>0</v>
      </c>
      <c r="K65" s="12">
        <v>2</v>
      </c>
      <c r="L65" s="53" t="s">
        <v>164</v>
      </c>
      <c r="M65" s="74"/>
      <c r="N65" s="16">
        <v>2</v>
      </c>
      <c r="O65" s="16"/>
      <c r="P65" s="16"/>
      <c r="Q65" s="77" t="s">
        <v>171</v>
      </c>
      <c r="R65" s="78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</row>
    <row r="66" spans="2:36" ht="25.05" customHeight="1">
      <c r="B66" s="71"/>
      <c r="C66" s="71"/>
      <c r="D66" s="71"/>
      <c r="E66" s="72"/>
      <c r="F66" s="72"/>
      <c r="G66" s="72"/>
      <c r="H66" s="72"/>
      <c r="I66" s="76" t="s">
        <v>172</v>
      </c>
      <c r="J66" s="10">
        <v>0</v>
      </c>
      <c r="K66" s="12">
        <f>SUM(K62:K65)</f>
        <v>25</v>
      </c>
      <c r="L66" s="12" t="s">
        <v>164</v>
      </c>
      <c r="M66" s="74"/>
      <c r="N66"/>
      <c r="O66"/>
      <c r="P66"/>
      <c r="Q66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</row>
    <row r="67" spans="2:36" ht="25.05" customHeight="1">
      <c r="B67" s="71"/>
      <c r="C67" s="71"/>
      <c r="D67" s="71"/>
      <c r="E67" s="72"/>
      <c r="F67" s="72"/>
      <c r="G67" s="72"/>
      <c r="H67" s="72"/>
      <c r="M67" s="74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</row>
    <row r="68" spans="2:36" ht="25.05" customHeight="1"/>
  </sheetData>
  <mergeCells count="11">
    <mergeCell ref="G3:H3"/>
    <mergeCell ref="B3:B4"/>
    <mergeCell ref="C3:C4"/>
    <mergeCell ref="D3:D4"/>
    <mergeCell ref="E3:E4"/>
    <mergeCell ref="F3:F4"/>
    <mergeCell ref="I3:I4"/>
    <mergeCell ref="J3:J4"/>
    <mergeCell ref="K3:K4"/>
    <mergeCell ref="L3:L4"/>
    <mergeCell ref="M3:AN3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2882-E209-41BD-AF95-3D2723DE9267}">
  <sheetPr>
    <pageSetUpPr fitToPage="1"/>
  </sheetPr>
  <dimension ref="A1:AM72"/>
  <sheetViews>
    <sheetView zoomScale="70" zoomScaleNormal="70" workbookViewId="0">
      <pane xSplit="12" ySplit="3" topLeftCell="M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1" customWidth="1"/>
    <col min="2" max="2" width="13" style="1" customWidth="1"/>
    <col min="3" max="3" width="17.5546875" style="1" customWidth="1"/>
    <col min="4" max="4" width="74" style="1" customWidth="1"/>
    <col min="5" max="5" width="46" style="1" customWidth="1"/>
    <col min="6" max="6" width="25.21875" style="1" customWidth="1"/>
    <col min="7" max="7" width="13.44140625" style="1" customWidth="1"/>
    <col min="8" max="8" width="12.5546875" style="1" customWidth="1"/>
    <col min="9" max="9" width="22.5546875" style="1" customWidth="1"/>
    <col min="10" max="10" width="12.5546875" style="1" customWidth="1"/>
    <col min="11" max="11" width="17.44140625" style="1" customWidth="1"/>
    <col min="12" max="12" width="20.77734375" style="1" customWidth="1"/>
    <col min="13" max="31" width="16.21875" style="1" customWidth="1"/>
    <col min="32" max="32" width="17.77734375" style="1" customWidth="1"/>
    <col min="33" max="38" width="16.21875" style="1" customWidth="1"/>
    <col min="39" max="39" width="14.44140625" style="1" customWidth="1"/>
    <col min="40" max="16384" width="10.21875" style="1"/>
  </cols>
  <sheetData>
    <row r="1" spans="1:39" ht="18.75" customHeight="1">
      <c r="A1" s="1" t="s">
        <v>0</v>
      </c>
    </row>
    <row r="2" spans="1:39" ht="25.05" customHeight="1">
      <c r="B2" s="114" t="s">
        <v>1</v>
      </c>
      <c r="C2" s="114" t="s">
        <v>2</v>
      </c>
      <c r="D2" s="114" t="s">
        <v>3</v>
      </c>
      <c r="E2" s="114" t="s">
        <v>4</v>
      </c>
      <c r="F2" s="114" t="s">
        <v>5</v>
      </c>
      <c r="G2" s="115" t="s">
        <v>6</v>
      </c>
      <c r="H2" s="115"/>
      <c r="I2" s="109" t="s">
        <v>7</v>
      </c>
      <c r="J2" s="110" t="s">
        <v>8</v>
      </c>
      <c r="K2" s="110" t="s">
        <v>9</v>
      </c>
      <c r="L2" s="110" t="s">
        <v>10</v>
      </c>
      <c r="M2" s="111" t="s">
        <v>11</v>
      </c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3"/>
    </row>
    <row r="3" spans="1:39" ht="46.5" customHeight="1">
      <c r="B3" s="114"/>
      <c r="C3" s="114"/>
      <c r="D3" s="114"/>
      <c r="E3" s="114"/>
      <c r="F3" s="114"/>
      <c r="G3" s="3" t="s">
        <v>12</v>
      </c>
      <c r="H3" s="3" t="s">
        <v>13</v>
      </c>
      <c r="I3" s="109"/>
      <c r="J3" s="110"/>
      <c r="K3" s="110"/>
      <c r="L3" s="110"/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4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</row>
    <row r="4" spans="1:39" ht="25.05" customHeight="1">
      <c r="B4" s="5" t="s">
        <v>350</v>
      </c>
      <c r="C4" s="6" t="s">
        <v>42</v>
      </c>
      <c r="D4" s="7"/>
      <c r="E4" s="8" t="s">
        <v>43</v>
      </c>
      <c r="F4" s="9" t="s">
        <v>44</v>
      </c>
      <c r="G4" s="10">
        <v>0.25</v>
      </c>
      <c r="H4" s="10">
        <v>0.29166666666666669</v>
      </c>
      <c r="I4" s="11">
        <f t="shared" ref="I4:I6" si="0">H4-G4</f>
        <v>4.1666666666666685E-2</v>
      </c>
      <c r="J4" s="12">
        <v>1</v>
      </c>
      <c r="K4" s="12">
        <v>0</v>
      </c>
      <c r="L4" s="13">
        <f t="shared" ref="L4:L6" si="1">IFERROR(((K4/(J4*I4)/24)),"0")</f>
        <v>0</v>
      </c>
      <c r="M4" s="12"/>
      <c r="N4" s="12"/>
      <c r="O4" s="12"/>
      <c r="P4" s="12"/>
      <c r="Q4" s="12"/>
      <c r="R4" s="14"/>
      <c r="S4" s="14"/>
      <c r="T4" s="12"/>
      <c r="U4" s="12"/>
      <c r="V4" s="14"/>
      <c r="W4" s="14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ht="25.05" customHeight="1">
      <c r="B5" s="15"/>
      <c r="C5" s="16"/>
      <c r="D5" s="7"/>
      <c r="E5" s="20" t="s">
        <v>351</v>
      </c>
      <c r="F5" s="22" t="s">
        <v>44</v>
      </c>
      <c r="G5" s="10">
        <v>0.54166666666666663</v>
      </c>
      <c r="H5" s="10">
        <v>0.66666666666666663</v>
      </c>
      <c r="I5" s="11">
        <f t="shared" si="0"/>
        <v>0.125</v>
      </c>
      <c r="J5" s="12">
        <v>6</v>
      </c>
      <c r="K5" s="12">
        <v>0</v>
      </c>
      <c r="L5" s="13">
        <f t="shared" si="1"/>
        <v>0</v>
      </c>
      <c r="M5" s="12"/>
      <c r="N5" s="12"/>
      <c r="O5" s="12"/>
      <c r="P5" s="12"/>
      <c r="Q5" s="12"/>
      <c r="R5" s="14"/>
      <c r="S5" s="14"/>
      <c r="T5" s="12"/>
      <c r="U5" s="12"/>
      <c r="V5" s="14"/>
      <c r="W5" s="14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ht="25.5" customHeight="1">
      <c r="B6" s="15"/>
      <c r="C6" s="16"/>
      <c r="D6" s="23"/>
      <c r="E6" s="20" t="s">
        <v>352</v>
      </c>
      <c r="F6" s="22" t="s">
        <v>44</v>
      </c>
      <c r="G6" s="10">
        <v>0.5625</v>
      </c>
      <c r="H6" s="10">
        <v>0.60416666666666663</v>
      </c>
      <c r="I6" s="11">
        <f t="shared" si="0"/>
        <v>4.166666666666663E-2</v>
      </c>
      <c r="J6" s="12">
        <v>4</v>
      </c>
      <c r="K6" s="12">
        <v>0</v>
      </c>
      <c r="L6" s="13">
        <f t="shared" si="1"/>
        <v>0</v>
      </c>
      <c r="M6" s="12"/>
      <c r="N6" s="12"/>
      <c r="O6" s="12"/>
      <c r="P6" s="12"/>
      <c r="Q6" s="12"/>
      <c r="R6" s="14"/>
      <c r="S6" s="14"/>
      <c r="T6" s="12"/>
      <c r="U6" s="12"/>
      <c r="V6" s="14"/>
      <c r="W6" s="14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 s="34" customFormat="1" ht="25.05" customHeight="1">
      <c r="A7" s="1"/>
      <c r="B7" s="27"/>
      <c r="C7" s="28"/>
      <c r="D7" s="29"/>
      <c r="E7" s="30"/>
      <c r="F7" s="30"/>
      <c r="G7" s="31"/>
      <c r="H7" s="31"/>
      <c r="I7" s="32"/>
      <c r="J7" s="18"/>
      <c r="K7" s="18">
        <f t="shared" ref="K7:AD7" si="2">SUM(K4:K6)</f>
        <v>0</v>
      </c>
      <c r="L7" s="33">
        <f t="shared" si="2"/>
        <v>0</v>
      </c>
      <c r="M7" s="18">
        <f t="shared" si="2"/>
        <v>0</v>
      </c>
      <c r="N7" s="18">
        <f t="shared" si="2"/>
        <v>0</v>
      </c>
      <c r="O7" s="18">
        <f t="shared" si="2"/>
        <v>0</v>
      </c>
      <c r="P7" s="18">
        <f t="shared" si="2"/>
        <v>0</v>
      </c>
      <c r="Q7" s="18">
        <f t="shared" si="2"/>
        <v>0</v>
      </c>
      <c r="R7" s="18">
        <f t="shared" si="2"/>
        <v>0</v>
      </c>
      <c r="S7" s="18">
        <f t="shared" si="2"/>
        <v>0</v>
      </c>
      <c r="T7" s="18">
        <f t="shared" si="2"/>
        <v>0</v>
      </c>
      <c r="U7" s="18">
        <f t="shared" si="2"/>
        <v>0</v>
      </c>
      <c r="V7" s="18">
        <f t="shared" si="2"/>
        <v>0</v>
      </c>
      <c r="W7" s="18">
        <f t="shared" si="2"/>
        <v>0</v>
      </c>
      <c r="X7" s="18">
        <f t="shared" si="2"/>
        <v>0</v>
      </c>
      <c r="Y7" s="18">
        <f t="shared" si="2"/>
        <v>0</v>
      </c>
      <c r="Z7" s="18">
        <f t="shared" si="2"/>
        <v>0</v>
      </c>
      <c r="AA7" s="18">
        <f t="shared" si="2"/>
        <v>0</v>
      </c>
      <c r="AB7" s="18">
        <f t="shared" si="2"/>
        <v>0</v>
      </c>
      <c r="AC7" s="18">
        <f t="shared" si="2"/>
        <v>0</v>
      </c>
      <c r="AD7" s="18">
        <f t="shared" si="2"/>
        <v>0</v>
      </c>
      <c r="AE7" s="18"/>
      <c r="AF7" s="18">
        <f t="shared" ref="AF7:AM7" si="3">SUM(AF4:AF6)</f>
        <v>0</v>
      </c>
      <c r="AG7" s="18">
        <f t="shared" si="3"/>
        <v>0</v>
      </c>
      <c r="AH7" s="18">
        <f t="shared" si="3"/>
        <v>0</v>
      </c>
      <c r="AI7" s="18">
        <f t="shared" si="3"/>
        <v>0</v>
      </c>
      <c r="AJ7" s="18">
        <f t="shared" si="3"/>
        <v>0</v>
      </c>
      <c r="AK7" s="18">
        <f t="shared" si="3"/>
        <v>0</v>
      </c>
      <c r="AL7" s="18">
        <f t="shared" si="3"/>
        <v>0</v>
      </c>
      <c r="AM7" s="18">
        <f t="shared" si="3"/>
        <v>0</v>
      </c>
    </row>
    <row r="8" spans="1:39" ht="25.05" customHeight="1">
      <c r="B8" s="5" t="s">
        <v>350</v>
      </c>
      <c r="C8" s="16" t="s">
        <v>71</v>
      </c>
      <c r="D8" s="7"/>
      <c r="E8" s="8" t="s">
        <v>43</v>
      </c>
      <c r="F8" s="9" t="s">
        <v>44</v>
      </c>
      <c r="G8" s="10">
        <v>0.29166666666666669</v>
      </c>
      <c r="H8" s="10">
        <v>0.33333333333333331</v>
      </c>
      <c r="I8" s="11">
        <f>H8-G8</f>
        <v>4.166666666666663E-2</v>
      </c>
      <c r="J8" s="12">
        <v>2</v>
      </c>
      <c r="K8" s="12">
        <v>0</v>
      </c>
      <c r="L8" s="13">
        <f>IFERROR(((K8/(J8*I8)/24)),"0")</f>
        <v>0</v>
      </c>
      <c r="M8" s="12"/>
      <c r="N8" s="12"/>
      <c r="O8" s="12"/>
      <c r="P8" s="12"/>
      <c r="Q8" s="12"/>
      <c r="R8" s="14"/>
      <c r="S8" s="14"/>
      <c r="T8" s="12"/>
      <c r="U8" s="12"/>
      <c r="V8" s="14"/>
      <c r="W8" s="14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 ht="25.05" customHeight="1">
      <c r="B9" s="15"/>
      <c r="C9" s="16"/>
      <c r="D9" s="7" t="s">
        <v>120</v>
      </c>
      <c r="E9" s="8" t="s">
        <v>253</v>
      </c>
      <c r="F9" s="9" t="s">
        <v>44</v>
      </c>
      <c r="G9" s="10">
        <v>0.33333333333333331</v>
      </c>
      <c r="H9" s="10">
        <v>0.5</v>
      </c>
      <c r="I9" s="11">
        <f t="shared" ref="I9:I13" si="4">H9-G9</f>
        <v>0.16666666666666669</v>
      </c>
      <c r="J9" s="12">
        <v>12</v>
      </c>
      <c r="K9" s="12">
        <f>108.32*3</f>
        <v>324.95999999999998</v>
      </c>
      <c r="L9" s="13">
        <f t="shared" ref="L9:L13" si="5">IFERROR(((K9/(J9*I9)/24)),"0")</f>
        <v>6.77</v>
      </c>
      <c r="M9" s="12"/>
      <c r="N9" s="12"/>
      <c r="O9" s="12"/>
      <c r="P9" s="12"/>
      <c r="Q9" s="12"/>
      <c r="R9" s="14"/>
      <c r="S9" s="14"/>
      <c r="T9" s="12">
        <v>240</v>
      </c>
      <c r="U9" s="12"/>
      <c r="V9" s="14"/>
      <c r="W9" s="14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25.05" customHeight="1">
      <c r="B10" s="15"/>
      <c r="C10" s="16"/>
      <c r="D10" s="23"/>
      <c r="E10" s="20" t="s">
        <v>74</v>
      </c>
      <c r="F10" s="9" t="s">
        <v>44</v>
      </c>
      <c r="G10" s="10">
        <v>0.5</v>
      </c>
      <c r="H10" s="10">
        <v>0.54166666666666663</v>
      </c>
      <c r="I10" s="11">
        <f t="shared" si="4"/>
        <v>4.166666666666663E-2</v>
      </c>
      <c r="J10" s="12">
        <v>12</v>
      </c>
      <c r="K10" s="12" t="s">
        <v>44</v>
      </c>
      <c r="L10" s="13" t="str">
        <f t="shared" si="5"/>
        <v>0</v>
      </c>
      <c r="M10" s="12"/>
      <c r="N10" s="12"/>
      <c r="O10" s="12"/>
      <c r="P10" s="12"/>
      <c r="Q10" s="12"/>
      <c r="R10" s="14"/>
      <c r="S10" s="14"/>
      <c r="T10" s="12"/>
      <c r="U10" s="12"/>
      <c r="V10" s="14"/>
      <c r="W10" s="14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ht="25.05" customHeight="1">
      <c r="B11" s="15"/>
      <c r="C11" s="16"/>
      <c r="D11" s="7"/>
      <c r="E11" s="19" t="s">
        <v>353</v>
      </c>
      <c r="F11" s="9" t="s">
        <v>44</v>
      </c>
      <c r="G11" s="10">
        <v>0.54166666666666663</v>
      </c>
      <c r="H11" s="10">
        <v>0.6875</v>
      </c>
      <c r="I11" s="11">
        <f t="shared" si="4"/>
        <v>0.14583333333333337</v>
      </c>
      <c r="J11" s="12">
        <v>12</v>
      </c>
      <c r="K11" s="12" t="s">
        <v>44</v>
      </c>
      <c r="L11" s="13" t="str">
        <f t="shared" si="5"/>
        <v>0</v>
      </c>
      <c r="M11" s="12"/>
      <c r="N11" s="12"/>
      <c r="O11" s="12"/>
      <c r="P11" s="12"/>
      <c r="Q11" s="12"/>
      <c r="R11" s="14"/>
      <c r="S11" s="14"/>
      <c r="T11" s="12"/>
      <c r="U11" s="12"/>
      <c r="V11" s="14"/>
      <c r="W11" s="14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ht="25.05" customHeight="1">
      <c r="B12" s="15"/>
      <c r="C12" s="16"/>
      <c r="D12" s="7"/>
      <c r="E12" s="20" t="s">
        <v>67</v>
      </c>
      <c r="F12" s="9" t="s">
        <v>44</v>
      </c>
      <c r="G12" s="10">
        <v>0.6875</v>
      </c>
      <c r="H12" s="10">
        <v>0.70833333333333337</v>
      </c>
      <c r="I12" s="11">
        <f t="shared" si="4"/>
        <v>2.083333333333337E-2</v>
      </c>
      <c r="J12" s="12">
        <v>12</v>
      </c>
      <c r="K12" s="12" t="s">
        <v>44</v>
      </c>
      <c r="L12" s="13" t="str">
        <f t="shared" si="5"/>
        <v>0</v>
      </c>
      <c r="M12" s="12"/>
      <c r="N12" s="12"/>
      <c r="O12" s="12"/>
      <c r="P12" s="12"/>
      <c r="Q12" s="12"/>
      <c r="R12" s="14"/>
      <c r="S12" s="14"/>
      <c r="T12" s="12"/>
      <c r="U12" s="12"/>
      <c r="V12" s="14"/>
      <c r="W12" s="14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ht="25.05" customHeight="1">
      <c r="B13" s="15"/>
      <c r="C13" s="16"/>
      <c r="D13" s="90"/>
      <c r="E13" s="7"/>
      <c r="F13" s="9"/>
      <c r="G13" s="10"/>
      <c r="H13" s="10"/>
      <c r="I13" s="11">
        <f t="shared" si="4"/>
        <v>0</v>
      </c>
      <c r="J13" s="12"/>
      <c r="K13" s="12"/>
      <c r="L13" s="13" t="str">
        <f t="shared" si="5"/>
        <v>0</v>
      </c>
      <c r="M13" s="12"/>
      <c r="N13" s="12"/>
      <c r="O13" s="12"/>
      <c r="P13" s="12"/>
      <c r="Q13" s="12"/>
      <c r="R13" s="14"/>
      <c r="S13" s="14"/>
      <c r="T13" s="12"/>
      <c r="U13" s="12"/>
      <c r="V13" s="14"/>
      <c r="W13" s="14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</row>
    <row r="14" spans="1:39" s="34" customFormat="1" ht="25.05" customHeight="1">
      <c r="A14" s="1"/>
      <c r="B14" s="27"/>
      <c r="C14" s="28"/>
      <c r="D14" s="29"/>
      <c r="E14" s="30"/>
      <c r="F14" s="28"/>
      <c r="G14" s="31"/>
      <c r="H14" s="31"/>
      <c r="I14" s="32"/>
      <c r="J14" s="18"/>
      <c r="K14" s="18">
        <f t="shared" ref="K14:AD14" si="6">SUM(K8:K13)</f>
        <v>324.95999999999998</v>
      </c>
      <c r="L14" s="18">
        <f t="shared" si="6"/>
        <v>6.77</v>
      </c>
      <c r="M14" s="18">
        <f t="shared" si="6"/>
        <v>0</v>
      </c>
      <c r="N14" s="18">
        <f t="shared" si="6"/>
        <v>0</v>
      </c>
      <c r="O14" s="18">
        <f t="shared" si="6"/>
        <v>0</v>
      </c>
      <c r="P14" s="18">
        <f t="shared" si="6"/>
        <v>0</v>
      </c>
      <c r="Q14" s="18">
        <f t="shared" si="6"/>
        <v>0</v>
      </c>
      <c r="R14" s="18">
        <f t="shared" si="6"/>
        <v>0</v>
      </c>
      <c r="S14" s="18">
        <f t="shared" si="6"/>
        <v>0</v>
      </c>
      <c r="T14" s="18">
        <f t="shared" si="6"/>
        <v>240</v>
      </c>
      <c r="U14" s="18">
        <f t="shared" si="6"/>
        <v>0</v>
      </c>
      <c r="V14" s="18">
        <f t="shared" si="6"/>
        <v>0</v>
      </c>
      <c r="W14" s="18">
        <f t="shared" si="6"/>
        <v>0</v>
      </c>
      <c r="X14" s="18">
        <f t="shared" si="6"/>
        <v>0</v>
      </c>
      <c r="Y14" s="18">
        <f t="shared" si="6"/>
        <v>0</v>
      </c>
      <c r="Z14" s="18">
        <f t="shared" si="6"/>
        <v>0</v>
      </c>
      <c r="AA14" s="18">
        <f t="shared" si="6"/>
        <v>0</v>
      </c>
      <c r="AB14" s="18">
        <f t="shared" si="6"/>
        <v>0</v>
      </c>
      <c r="AC14" s="18">
        <f t="shared" si="6"/>
        <v>0</v>
      </c>
      <c r="AD14" s="18">
        <f t="shared" si="6"/>
        <v>0</v>
      </c>
      <c r="AE14" s="18"/>
      <c r="AF14" s="18">
        <f t="shared" ref="AF14:AM14" si="7">SUM(AF8:AF13)</f>
        <v>0</v>
      </c>
      <c r="AG14" s="18">
        <f t="shared" si="7"/>
        <v>0</v>
      </c>
      <c r="AH14" s="18">
        <f t="shared" si="7"/>
        <v>0</v>
      </c>
      <c r="AI14" s="18">
        <f t="shared" si="7"/>
        <v>0</v>
      </c>
      <c r="AJ14" s="18">
        <f t="shared" si="7"/>
        <v>0</v>
      </c>
      <c r="AK14" s="18">
        <f t="shared" si="7"/>
        <v>0</v>
      </c>
      <c r="AL14" s="18">
        <f t="shared" si="7"/>
        <v>0</v>
      </c>
      <c r="AM14" s="18">
        <f t="shared" si="7"/>
        <v>0</v>
      </c>
    </row>
    <row r="15" spans="1:39" ht="25.05" customHeight="1">
      <c r="B15" s="5" t="s">
        <v>350</v>
      </c>
      <c r="C15" s="35" t="s">
        <v>76</v>
      </c>
      <c r="D15" s="23"/>
      <c r="E15" s="8" t="s">
        <v>43</v>
      </c>
      <c r="F15" s="9" t="s">
        <v>44</v>
      </c>
      <c r="G15" s="10">
        <v>0.29166666666666669</v>
      </c>
      <c r="H15" s="10">
        <v>0.33333333333333331</v>
      </c>
      <c r="I15" s="11">
        <f t="shared" ref="I15:I61" si="8">H15-G15</f>
        <v>4.166666666666663E-2</v>
      </c>
      <c r="J15" s="12">
        <v>5</v>
      </c>
      <c r="K15" s="12">
        <v>0</v>
      </c>
      <c r="L15" s="13">
        <f t="shared" ref="L15:L61" si="9">IFERROR(((K15/(J15*I15)/24)),"0")</f>
        <v>0</v>
      </c>
      <c r="M15" s="12"/>
      <c r="N15" s="12"/>
      <c r="O15" s="12"/>
      <c r="P15" s="12"/>
      <c r="Q15" s="12"/>
      <c r="R15" s="14"/>
      <c r="S15" s="14"/>
      <c r="T15" s="12"/>
      <c r="U15" s="12"/>
      <c r="V15" s="14"/>
      <c r="W15" s="14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6"/>
    </row>
    <row r="16" spans="1:39" ht="25.05" customHeight="1">
      <c r="B16" s="15"/>
      <c r="C16" s="35"/>
      <c r="D16" s="23" t="s">
        <v>354</v>
      </c>
      <c r="E16" s="19" t="s">
        <v>355</v>
      </c>
      <c r="F16" s="9" t="s">
        <v>44</v>
      </c>
      <c r="G16" s="10">
        <v>0.42986111111111114</v>
      </c>
      <c r="H16" s="10">
        <v>0.43263888888888891</v>
      </c>
      <c r="I16" s="11">
        <f t="shared" si="8"/>
        <v>2.7777777777777679E-3</v>
      </c>
      <c r="J16" s="12">
        <v>10</v>
      </c>
      <c r="K16" s="12">
        <v>38.79</v>
      </c>
      <c r="L16" s="13">
        <f t="shared" si="9"/>
        <v>58.185000000000201</v>
      </c>
      <c r="M16" s="12"/>
      <c r="N16" s="12"/>
      <c r="O16" s="12"/>
      <c r="P16" s="12"/>
      <c r="Q16" s="12"/>
      <c r="R16" s="14"/>
      <c r="S16" s="14"/>
      <c r="T16" s="12"/>
      <c r="U16" s="12"/>
      <c r="V16" s="14">
        <v>3</v>
      </c>
      <c r="W16" s="14"/>
      <c r="X16" s="12"/>
      <c r="Y16" s="12"/>
      <c r="Z16" s="12"/>
      <c r="AA16" s="12"/>
      <c r="AB16" s="12">
        <v>4</v>
      </c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6"/>
    </row>
    <row r="17" spans="2:39" ht="25.05" customHeight="1">
      <c r="B17" s="15"/>
      <c r="C17" s="35"/>
      <c r="D17" s="23"/>
      <c r="E17" s="19" t="s">
        <v>356</v>
      </c>
      <c r="F17" s="9" t="s">
        <v>44</v>
      </c>
      <c r="G17" s="10">
        <v>0.47569444444444442</v>
      </c>
      <c r="H17" s="10">
        <v>0.47847222222222224</v>
      </c>
      <c r="I17" s="11">
        <f t="shared" si="8"/>
        <v>2.7777777777778234E-3</v>
      </c>
      <c r="J17" s="12">
        <v>10</v>
      </c>
      <c r="K17" s="12">
        <v>39.590000000000003</v>
      </c>
      <c r="L17" s="13">
        <f t="shared" si="9"/>
        <v>59.384999999999032</v>
      </c>
      <c r="M17" s="12"/>
      <c r="N17" s="12"/>
      <c r="O17" s="12"/>
      <c r="P17" s="12"/>
      <c r="Q17" s="12"/>
      <c r="R17" s="14"/>
      <c r="S17" s="14"/>
      <c r="T17" s="12"/>
      <c r="U17" s="12"/>
      <c r="V17" s="14"/>
      <c r="W17" s="14">
        <v>3</v>
      </c>
      <c r="X17" s="12"/>
      <c r="Y17" s="12"/>
      <c r="Z17" s="12"/>
      <c r="AA17" s="12"/>
      <c r="AB17" s="12"/>
      <c r="AC17" s="12">
        <v>4</v>
      </c>
      <c r="AD17" s="12"/>
      <c r="AE17" s="12"/>
      <c r="AF17" s="12"/>
      <c r="AG17" s="12"/>
      <c r="AH17" s="12"/>
      <c r="AI17" s="12"/>
      <c r="AJ17" s="12"/>
      <c r="AK17" s="12"/>
      <c r="AL17" s="12"/>
      <c r="AM17" s="16"/>
    </row>
    <row r="18" spans="2:39" ht="25.05" customHeight="1">
      <c r="B18" s="15"/>
      <c r="C18" s="35"/>
      <c r="D18" s="23"/>
      <c r="E18" s="19" t="s">
        <v>357</v>
      </c>
      <c r="F18" s="9" t="s">
        <v>44</v>
      </c>
      <c r="G18" s="10">
        <v>0.56805555555555554</v>
      </c>
      <c r="H18" s="10">
        <v>0.5708333333333333</v>
      </c>
      <c r="I18" s="11">
        <f t="shared" si="8"/>
        <v>2.7777777777777679E-3</v>
      </c>
      <c r="J18" s="12">
        <v>10</v>
      </c>
      <c r="K18" s="12">
        <v>38.92</v>
      </c>
      <c r="L18" s="13">
        <f t="shared" si="9"/>
        <v>58.380000000000216</v>
      </c>
      <c r="M18" s="12"/>
      <c r="N18" s="12"/>
      <c r="O18" s="12"/>
      <c r="P18" s="12"/>
      <c r="Q18" s="12"/>
      <c r="R18" s="14"/>
      <c r="S18" s="14"/>
      <c r="T18" s="12"/>
      <c r="U18" s="12"/>
      <c r="V18" s="14">
        <v>3</v>
      </c>
      <c r="W18" s="14"/>
      <c r="X18" s="12"/>
      <c r="Y18" s="12"/>
      <c r="Z18" s="12"/>
      <c r="AA18" s="12"/>
      <c r="AB18" s="12">
        <v>4</v>
      </c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6"/>
    </row>
    <row r="19" spans="2:39" ht="25.05" customHeight="1">
      <c r="B19" s="15"/>
      <c r="C19" s="35"/>
      <c r="D19" s="23"/>
      <c r="E19" s="19" t="s">
        <v>358</v>
      </c>
      <c r="F19" s="9" t="s">
        <v>44</v>
      </c>
      <c r="G19" s="10">
        <v>0.5708333333333333</v>
      </c>
      <c r="H19" s="10">
        <v>0.57361111111111107</v>
      </c>
      <c r="I19" s="11">
        <f t="shared" si="8"/>
        <v>2.7777777777777679E-3</v>
      </c>
      <c r="J19" s="12">
        <v>10</v>
      </c>
      <c r="K19" s="12">
        <v>39.24</v>
      </c>
      <c r="L19" s="13">
        <f t="shared" si="9"/>
        <v>58.860000000000213</v>
      </c>
      <c r="M19" s="12"/>
      <c r="N19" s="12"/>
      <c r="O19" s="12"/>
      <c r="P19" s="12"/>
      <c r="Q19" s="12"/>
      <c r="R19" s="14"/>
      <c r="S19" s="14"/>
      <c r="T19" s="12"/>
      <c r="U19" s="12"/>
      <c r="V19" s="14"/>
      <c r="W19" s="14">
        <v>3</v>
      </c>
      <c r="X19" s="12"/>
      <c r="Y19" s="12"/>
      <c r="Z19" s="12"/>
      <c r="AA19" s="12"/>
      <c r="AB19" s="12"/>
      <c r="AC19" s="12">
        <v>4</v>
      </c>
      <c r="AD19" s="12"/>
      <c r="AE19" s="12"/>
      <c r="AF19" s="12"/>
      <c r="AG19" s="12"/>
      <c r="AH19" s="12"/>
      <c r="AI19" s="12"/>
      <c r="AJ19" s="12"/>
      <c r="AK19" s="12"/>
      <c r="AL19" s="12"/>
      <c r="AM19" s="16"/>
    </row>
    <row r="20" spans="2:39" ht="25.05" customHeight="1">
      <c r="B20" s="15"/>
      <c r="C20" s="35"/>
      <c r="D20" s="102"/>
      <c r="E20" s="19" t="s">
        <v>359</v>
      </c>
      <c r="F20" s="9" t="s">
        <v>44</v>
      </c>
      <c r="G20" s="10">
        <v>0.57499999999999996</v>
      </c>
      <c r="H20" s="10">
        <v>0.57777777777777772</v>
      </c>
      <c r="I20" s="11">
        <f t="shared" si="8"/>
        <v>2.7777777777777679E-3</v>
      </c>
      <c r="J20" s="12">
        <v>10</v>
      </c>
      <c r="K20" s="12">
        <v>39</v>
      </c>
      <c r="L20" s="13">
        <f t="shared" si="9"/>
        <v>58.500000000000206</v>
      </c>
      <c r="M20" s="12"/>
      <c r="N20" s="12"/>
      <c r="O20" s="12"/>
      <c r="P20" s="12"/>
      <c r="Q20" s="12"/>
      <c r="R20" s="14"/>
      <c r="S20" s="14"/>
      <c r="T20" s="12"/>
      <c r="U20" s="12"/>
      <c r="V20" s="14">
        <v>3</v>
      </c>
      <c r="W20" s="14"/>
      <c r="X20" s="12"/>
      <c r="Y20" s="12"/>
      <c r="Z20" s="12"/>
      <c r="AA20" s="12"/>
      <c r="AB20" s="12"/>
      <c r="AC20" s="12"/>
      <c r="AD20" s="12">
        <v>4</v>
      </c>
      <c r="AE20" s="12"/>
      <c r="AF20" s="12"/>
      <c r="AG20" s="12"/>
      <c r="AH20" s="12"/>
      <c r="AI20" s="12"/>
      <c r="AJ20" s="12"/>
      <c r="AK20" s="12"/>
      <c r="AL20" s="12"/>
      <c r="AM20" s="16"/>
    </row>
    <row r="21" spans="2:39" ht="25.05" customHeight="1">
      <c r="B21" s="15"/>
      <c r="C21" s="35"/>
      <c r="D21" s="102"/>
      <c r="E21" s="19" t="s">
        <v>360</v>
      </c>
      <c r="F21" s="9" t="s">
        <v>44</v>
      </c>
      <c r="G21" s="10">
        <v>0.57986111111111116</v>
      </c>
      <c r="H21" s="10">
        <v>0.58263888888888893</v>
      </c>
      <c r="I21" s="11">
        <f t="shared" si="8"/>
        <v>2.7777777777777679E-3</v>
      </c>
      <c r="J21" s="12">
        <v>10</v>
      </c>
      <c r="K21" s="12">
        <v>39.39</v>
      </c>
      <c r="L21" s="13">
        <f t="shared" si="9"/>
        <v>59.085000000000207</v>
      </c>
      <c r="M21" s="12"/>
      <c r="N21" s="12"/>
      <c r="O21" s="12"/>
      <c r="P21" s="12"/>
      <c r="Q21" s="12"/>
      <c r="R21" s="14"/>
      <c r="S21" s="14"/>
      <c r="T21" s="12"/>
      <c r="U21" s="12"/>
      <c r="V21" s="14"/>
      <c r="W21" s="14">
        <v>3</v>
      </c>
      <c r="X21" s="12"/>
      <c r="Y21" s="12"/>
      <c r="Z21" s="12"/>
      <c r="AA21" s="12"/>
      <c r="AB21" s="12">
        <v>4</v>
      </c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6"/>
    </row>
    <row r="22" spans="2:39" ht="25.05" customHeight="1">
      <c r="B22" s="5"/>
      <c r="C22" s="35"/>
      <c r="D22" s="23"/>
      <c r="E22" s="103"/>
      <c r="F22" s="9"/>
      <c r="G22" s="10"/>
      <c r="H22" s="10"/>
      <c r="I22" s="11">
        <f t="shared" si="8"/>
        <v>0</v>
      </c>
      <c r="J22" s="12"/>
      <c r="K22" s="12"/>
      <c r="L22" s="13" t="str">
        <f t="shared" si="9"/>
        <v>0</v>
      </c>
      <c r="M22" s="12"/>
      <c r="N22" s="12"/>
      <c r="O22" s="12"/>
      <c r="P22" s="12"/>
      <c r="Q22" s="12"/>
      <c r="R22" s="14"/>
      <c r="S22" s="14"/>
      <c r="T22" s="12"/>
      <c r="U22" s="12"/>
      <c r="V22" s="14"/>
      <c r="W22" s="14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6"/>
    </row>
    <row r="23" spans="2:39" ht="25.05" customHeight="1">
      <c r="B23" s="15"/>
      <c r="C23" s="35"/>
      <c r="D23" s="104" t="s">
        <v>361</v>
      </c>
      <c r="E23" s="19" t="s">
        <v>362</v>
      </c>
      <c r="F23" s="9" t="s">
        <v>44</v>
      </c>
      <c r="G23" s="10">
        <v>0.58750000000000002</v>
      </c>
      <c r="H23" s="10">
        <v>0.58958333333333335</v>
      </c>
      <c r="I23" s="11">
        <f t="shared" si="8"/>
        <v>2.0833333333333259E-3</v>
      </c>
      <c r="J23" s="12">
        <v>10</v>
      </c>
      <c r="K23" s="12">
        <v>37.78</v>
      </c>
      <c r="L23" s="13">
        <f t="shared" si="9"/>
        <v>75.560000000000272</v>
      </c>
      <c r="M23" s="12"/>
      <c r="N23" s="12"/>
      <c r="O23" s="12"/>
      <c r="P23" s="12"/>
      <c r="Q23" s="12"/>
      <c r="R23" s="14"/>
      <c r="S23" s="14"/>
      <c r="T23" s="12"/>
      <c r="U23" s="12"/>
      <c r="V23" s="14">
        <v>2</v>
      </c>
      <c r="W23" s="14"/>
      <c r="X23" s="12"/>
      <c r="Y23" s="12"/>
      <c r="Z23" s="12"/>
      <c r="AA23" s="12"/>
      <c r="AB23" s="12">
        <v>3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6"/>
    </row>
    <row r="24" spans="2:39" ht="25.05" customHeight="1">
      <c r="B24" s="15"/>
      <c r="C24" s="35"/>
      <c r="D24" s="23"/>
      <c r="E24" s="19" t="s">
        <v>363</v>
      </c>
      <c r="F24" s="9" t="s">
        <v>44</v>
      </c>
      <c r="G24" s="10">
        <v>0.59097222222222223</v>
      </c>
      <c r="H24" s="10">
        <v>0.59375</v>
      </c>
      <c r="I24" s="11">
        <f t="shared" si="8"/>
        <v>2.7777777777777679E-3</v>
      </c>
      <c r="J24" s="12">
        <v>10</v>
      </c>
      <c r="K24" s="12">
        <v>37.69</v>
      </c>
      <c r="L24" s="13">
        <f t="shared" si="9"/>
        <v>56.535000000000196</v>
      </c>
      <c r="M24" s="12"/>
      <c r="N24" s="12"/>
      <c r="O24" s="12"/>
      <c r="P24" s="12"/>
      <c r="Q24" s="12"/>
      <c r="R24" s="14"/>
      <c r="S24" s="14"/>
      <c r="T24" s="12"/>
      <c r="U24" s="12"/>
      <c r="V24" s="14"/>
      <c r="W24" s="14">
        <v>2</v>
      </c>
      <c r="X24" s="12"/>
      <c r="Y24" s="12"/>
      <c r="Z24" s="12"/>
      <c r="AA24" s="12"/>
      <c r="AB24" s="12"/>
      <c r="AC24" s="12"/>
      <c r="AD24" s="12">
        <v>3</v>
      </c>
      <c r="AE24" s="12"/>
      <c r="AF24" s="12"/>
      <c r="AG24" s="12"/>
      <c r="AH24" s="12"/>
      <c r="AI24" s="12"/>
      <c r="AJ24" s="12"/>
      <c r="AK24" s="12"/>
      <c r="AL24" s="12"/>
      <c r="AM24" s="16"/>
    </row>
    <row r="25" spans="2:39" ht="25.05" customHeight="1">
      <c r="B25" s="15"/>
      <c r="C25" s="35"/>
      <c r="D25" s="23"/>
      <c r="E25" s="19" t="s">
        <v>364</v>
      </c>
      <c r="F25" s="9" t="s">
        <v>44</v>
      </c>
      <c r="G25" s="10">
        <v>0.59513888888888888</v>
      </c>
      <c r="H25" s="10">
        <v>0.59722222222222221</v>
      </c>
      <c r="I25" s="11">
        <f t="shared" si="8"/>
        <v>2.0833333333333259E-3</v>
      </c>
      <c r="J25" s="12">
        <v>10</v>
      </c>
      <c r="K25" s="12">
        <v>36.840000000000003</v>
      </c>
      <c r="L25" s="13">
        <f t="shared" si="9"/>
        <v>73.680000000000277</v>
      </c>
      <c r="M25" s="12"/>
      <c r="N25" s="12"/>
      <c r="O25" s="12"/>
      <c r="P25" s="12"/>
      <c r="Q25" s="12"/>
      <c r="R25" s="14"/>
      <c r="S25" s="14"/>
      <c r="T25" s="12"/>
      <c r="U25" s="12"/>
      <c r="V25" s="14">
        <v>2</v>
      </c>
      <c r="W25" s="14"/>
      <c r="X25" s="12"/>
      <c r="Y25" s="12"/>
      <c r="Z25" s="12"/>
      <c r="AA25" s="12"/>
      <c r="AB25" s="12"/>
      <c r="AC25" s="12"/>
      <c r="AD25" s="12"/>
      <c r="AE25" s="12">
        <v>3</v>
      </c>
      <c r="AF25" s="12"/>
      <c r="AG25" s="12"/>
      <c r="AH25" s="12"/>
      <c r="AI25" s="12"/>
      <c r="AJ25" s="12"/>
      <c r="AK25" s="12"/>
      <c r="AL25" s="12"/>
      <c r="AM25" s="16"/>
    </row>
    <row r="26" spans="2:39" ht="25.05" customHeight="1">
      <c r="B26" s="15"/>
      <c r="C26" s="35"/>
      <c r="D26" s="23"/>
      <c r="E26" s="19" t="s">
        <v>365</v>
      </c>
      <c r="F26" s="9" t="s">
        <v>44</v>
      </c>
      <c r="G26" s="10">
        <v>0.59791666666666665</v>
      </c>
      <c r="H26" s="10">
        <v>0.6</v>
      </c>
      <c r="I26" s="11">
        <f t="shared" si="8"/>
        <v>2.0833333333333259E-3</v>
      </c>
      <c r="J26" s="12">
        <v>10</v>
      </c>
      <c r="K26" s="12">
        <v>37.909999999999997</v>
      </c>
      <c r="L26" s="13">
        <f t="shared" si="9"/>
        <v>75.820000000000263</v>
      </c>
      <c r="M26" s="12"/>
      <c r="N26" s="12"/>
      <c r="O26" s="12"/>
      <c r="P26" s="12"/>
      <c r="Q26" s="12"/>
      <c r="R26" s="14"/>
      <c r="S26" s="14"/>
      <c r="T26" s="12"/>
      <c r="U26" s="12"/>
      <c r="V26" s="14"/>
      <c r="W26" s="14">
        <v>2</v>
      </c>
      <c r="X26" s="12"/>
      <c r="Y26" s="12"/>
      <c r="Z26" s="12"/>
      <c r="AA26" s="12"/>
      <c r="AB26" s="12"/>
      <c r="AC26" s="12">
        <v>3</v>
      </c>
      <c r="AD26" s="12"/>
      <c r="AE26" s="12"/>
      <c r="AF26" s="12"/>
      <c r="AG26" s="12"/>
      <c r="AH26" s="12"/>
      <c r="AI26" s="12"/>
      <c r="AJ26" s="12"/>
      <c r="AK26" s="12"/>
      <c r="AL26" s="12"/>
      <c r="AM26" s="16"/>
    </row>
    <row r="27" spans="2:39" ht="25.05" customHeight="1">
      <c r="B27" s="15"/>
      <c r="C27" s="35"/>
      <c r="D27" s="102"/>
      <c r="E27" s="19" t="s">
        <v>366</v>
      </c>
      <c r="F27" s="9" t="s">
        <v>44</v>
      </c>
      <c r="G27" s="10">
        <v>0.60138888888888886</v>
      </c>
      <c r="H27" s="10">
        <v>0.60347222222222219</v>
      </c>
      <c r="I27" s="11">
        <f t="shared" si="8"/>
        <v>2.0833333333333259E-3</v>
      </c>
      <c r="J27" s="12">
        <v>10</v>
      </c>
      <c r="K27" s="12">
        <v>37.840000000000003</v>
      </c>
      <c r="L27" s="13">
        <f t="shared" si="9"/>
        <v>75.680000000000277</v>
      </c>
      <c r="M27" s="12"/>
      <c r="N27" s="12"/>
      <c r="O27" s="12"/>
      <c r="P27" s="12"/>
      <c r="Q27" s="12"/>
      <c r="R27" s="14"/>
      <c r="S27" s="14"/>
      <c r="T27" s="12"/>
      <c r="U27" s="12"/>
      <c r="V27" s="14">
        <v>2</v>
      </c>
      <c r="W27" s="14"/>
      <c r="X27" s="12"/>
      <c r="Y27" s="12"/>
      <c r="Z27" s="12"/>
      <c r="AA27" s="12"/>
      <c r="AB27" s="12">
        <v>3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6"/>
    </row>
    <row r="28" spans="2:39" ht="25.05" customHeight="1">
      <c r="B28" s="15"/>
      <c r="C28" s="35"/>
      <c r="D28" s="102"/>
      <c r="E28" s="19" t="s">
        <v>367</v>
      </c>
      <c r="F28" s="9" t="s">
        <v>44</v>
      </c>
      <c r="G28" s="10">
        <v>0.60416666666666663</v>
      </c>
      <c r="H28" s="10">
        <v>0.60624999999999996</v>
      </c>
      <c r="I28" s="11">
        <f t="shared" si="8"/>
        <v>2.0833333333333259E-3</v>
      </c>
      <c r="J28" s="12">
        <v>10</v>
      </c>
      <c r="K28" s="12">
        <v>37.33</v>
      </c>
      <c r="L28" s="13">
        <f t="shared" si="9"/>
        <v>74.660000000000267</v>
      </c>
      <c r="M28" s="12"/>
      <c r="N28" s="12"/>
      <c r="O28" s="12"/>
      <c r="P28" s="12"/>
      <c r="Q28" s="12"/>
      <c r="R28" s="14"/>
      <c r="S28" s="14"/>
      <c r="T28" s="12"/>
      <c r="U28" s="12"/>
      <c r="V28" s="14"/>
      <c r="W28" s="14">
        <v>2</v>
      </c>
      <c r="X28" s="12"/>
      <c r="Y28" s="12"/>
      <c r="Z28" s="12"/>
      <c r="AA28" s="12"/>
      <c r="AB28" s="12"/>
      <c r="AC28" s="12"/>
      <c r="AD28" s="12">
        <v>3</v>
      </c>
      <c r="AE28" s="12"/>
      <c r="AF28" s="12"/>
      <c r="AG28" s="12"/>
      <c r="AH28" s="12"/>
      <c r="AI28" s="12"/>
      <c r="AJ28" s="12"/>
      <c r="AK28" s="12"/>
      <c r="AL28" s="12"/>
      <c r="AM28" s="16"/>
    </row>
    <row r="29" spans="2:39" ht="25.05" customHeight="1">
      <c r="B29" s="15"/>
      <c r="C29" s="35"/>
      <c r="D29" s="102"/>
      <c r="E29" s="19" t="s">
        <v>368</v>
      </c>
      <c r="F29" s="9" t="s">
        <v>44</v>
      </c>
      <c r="G29" s="10">
        <v>0.6069444444444444</v>
      </c>
      <c r="H29" s="10">
        <v>0.60902777777777772</v>
      </c>
      <c r="I29" s="11">
        <f t="shared" si="8"/>
        <v>2.0833333333333259E-3</v>
      </c>
      <c r="J29" s="12">
        <v>10</v>
      </c>
      <c r="K29" s="12">
        <v>37.14</v>
      </c>
      <c r="L29" s="13">
        <f t="shared" si="9"/>
        <v>74.280000000000271</v>
      </c>
      <c r="M29" s="12"/>
      <c r="N29" s="12"/>
      <c r="O29" s="12"/>
      <c r="P29" s="12"/>
      <c r="Q29" s="12"/>
      <c r="R29" s="14"/>
      <c r="S29" s="14"/>
      <c r="T29" s="12"/>
      <c r="U29" s="12"/>
      <c r="V29" s="14">
        <v>2</v>
      </c>
      <c r="W29" s="14"/>
      <c r="X29" s="12"/>
      <c r="Y29" s="12"/>
      <c r="Z29" s="12"/>
      <c r="AA29" s="12"/>
      <c r="AB29" s="12"/>
      <c r="AC29" s="12"/>
      <c r="AD29" s="12"/>
      <c r="AE29" s="12">
        <v>3</v>
      </c>
      <c r="AF29" s="12"/>
      <c r="AG29" s="12"/>
      <c r="AH29" s="12"/>
      <c r="AI29" s="12"/>
      <c r="AJ29" s="12"/>
      <c r="AK29" s="12"/>
      <c r="AL29" s="12"/>
      <c r="AM29" s="16"/>
    </row>
    <row r="30" spans="2:39" ht="25.05" customHeight="1">
      <c r="B30" s="15"/>
      <c r="C30" s="35"/>
      <c r="D30" s="102"/>
      <c r="E30" s="19" t="s">
        <v>369</v>
      </c>
      <c r="F30" s="9" t="s">
        <v>44</v>
      </c>
      <c r="G30" s="10">
        <v>0.61041666666666672</v>
      </c>
      <c r="H30" s="10">
        <v>0.61250000000000004</v>
      </c>
      <c r="I30" s="11">
        <f t="shared" si="8"/>
        <v>2.0833333333333259E-3</v>
      </c>
      <c r="J30" s="12">
        <v>10</v>
      </c>
      <c r="K30" s="12">
        <v>37.42</v>
      </c>
      <c r="L30" s="13">
        <f t="shared" si="9"/>
        <v>74.840000000000273</v>
      </c>
      <c r="M30" s="12"/>
      <c r="N30" s="12"/>
      <c r="O30" s="12"/>
      <c r="P30" s="12"/>
      <c r="Q30" s="12"/>
      <c r="R30" s="14"/>
      <c r="S30" s="14"/>
      <c r="T30" s="12"/>
      <c r="U30" s="12"/>
      <c r="V30" s="14"/>
      <c r="W30" s="14">
        <v>2</v>
      </c>
      <c r="X30" s="12"/>
      <c r="Y30" s="12"/>
      <c r="Z30" s="12"/>
      <c r="AA30" s="12"/>
      <c r="AB30" s="12"/>
      <c r="AC30" s="12">
        <v>3</v>
      </c>
      <c r="AD30" s="12"/>
      <c r="AE30" s="12"/>
      <c r="AF30" s="12"/>
      <c r="AG30" s="12"/>
      <c r="AH30" s="12"/>
      <c r="AI30" s="12"/>
      <c r="AJ30" s="12"/>
      <c r="AK30" s="12"/>
      <c r="AL30" s="12"/>
      <c r="AM30" s="16"/>
    </row>
    <row r="31" spans="2:39" ht="25.05" customHeight="1">
      <c r="B31" s="15"/>
      <c r="C31" s="35"/>
      <c r="D31" s="102"/>
      <c r="E31" s="19" t="s">
        <v>370</v>
      </c>
      <c r="F31" s="9" t="s">
        <v>44</v>
      </c>
      <c r="G31" s="10">
        <v>0.61388888888888893</v>
      </c>
      <c r="H31" s="10">
        <v>0.61597222222222225</v>
      </c>
      <c r="I31" s="11">
        <f t="shared" si="8"/>
        <v>2.0833333333333259E-3</v>
      </c>
      <c r="J31" s="12">
        <v>10</v>
      </c>
      <c r="K31" s="12">
        <v>37.450000000000003</v>
      </c>
      <c r="L31" s="13">
        <f t="shared" si="9"/>
        <v>74.900000000000276</v>
      </c>
      <c r="M31" s="12"/>
      <c r="N31" s="12"/>
      <c r="O31" s="12"/>
      <c r="P31" s="12"/>
      <c r="Q31" s="12"/>
      <c r="R31" s="14"/>
      <c r="S31" s="14"/>
      <c r="T31" s="12"/>
      <c r="U31" s="12"/>
      <c r="V31" s="14">
        <v>2</v>
      </c>
      <c r="W31" s="14"/>
      <c r="X31" s="12"/>
      <c r="Y31" s="12"/>
      <c r="Z31" s="12"/>
      <c r="AA31" s="12"/>
      <c r="AB31" s="12">
        <v>3</v>
      </c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6"/>
    </row>
    <row r="32" spans="2:39" ht="25.05" customHeight="1">
      <c r="B32" s="15"/>
      <c r="C32" s="35"/>
      <c r="D32" s="102"/>
      <c r="E32" s="19" t="s">
        <v>371</v>
      </c>
      <c r="F32" s="9" t="s">
        <v>44</v>
      </c>
      <c r="G32" s="10">
        <v>0.6166666666666667</v>
      </c>
      <c r="H32" s="10">
        <v>0.61875000000000002</v>
      </c>
      <c r="I32" s="11">
        <f t="shared" si="8"/>
        <v>2.0833333333333259E-3</v>
      </c>
      <c r="J32" s="12">
        <v>10</v>
      </c>
      <c r="K32" s="12">
        <v>37</v>
      </c>
      <c r="L32" s="13">
        <f t="shared" si="9"/>
        <v>74.00000000000027</v>
      </c>
      <c r="M32" s="12"/>
      <c r="N32" s="12"/>
      <c r="O32" s="12"/>
      <c r="P32" s="12"/>
      <c r="Q32" s="12"/>
      <c r="R32" s="14"/>
      <c r="S32" s="14"/>
      <c r="T32" s="12"/>
      <c r="U32" s="12"/>
      <c r="V32" s="14"/>
      <c r="W32" s="14">
        <v>2</v>
      </c>
      <c r="X32" s="12"/>
      <c r="Y32" s="12"/>
      <c r="Z32" s="12"/>
      <c r="AA32" s="12"/>
      <c r="AB32" s="12"/>
      <c r="AC32" s="12"/>
      <c r="AD32" s="12">
        <v>3</v>
      </c>
      <c r="AE32" s="12"/>
      <c r="AF32" s="12"/>
      <c r="AG32" s="12"/>
      <c r="AH32" s="12"/>
      <c r="AI32" s="12"/>
      <c r="AJ32" s="12"/>
      <c r="AK32" s="12"/>
      <c r="AL32" s="12"/>
      <c r="AM32" s="16"/>
    </row>
    <row r="33" spans="2:39" ht="25.05" customHeight="1">
      <c r="B33" s="15"/>
      <c r="C33" s="35"/>
      <c r="D33" s="102"/>
      <c r="E33" s="19" t="s">
        <v>372</v>
      </c>
      <c r="F33" s="9" t="s">
        <v>44</v>
      </c>
      <c r="G33" s="10">
        <v>0.61944444444444446</v>
      </c>
      <c r="H33" s="10">
        <v>0.62152777777777779</v>
      </c>
      <c r="I33" s="11">
        <f t="shared" si="8"/>
        <v>2.0833333333333259E-3</v>
      </c>
      <c r="J33" s="12">
        <v>10</v>
      </c>
      <c r="K33" s="12">
        <v>37.090000000000003</v>
      </c>
      <c r="L33" s="13">
        <f t="shared" si="9"/>
        <v>74.180000000000277</v>
      </c>
      <c r="M33" s="12"/>
      <c r="N33" s="12"/>
      <c r="O33" s="12"/>
      <c r="P33" s="12"/>
      <c r="Q33" s="12"/>
      <c r="R33" s="14"/>
      <c r="S33" s="14"/>
      <c r="T33" s="12"/>
      <c r="U33" s="12"/>
      <c r="V33" s="14">
        <v>2</v>
      </c>
      <c r="W33" s="14"/>
      <c r="X33" s="12"/>
      <c r="Y33" s="12"/>
      <c r="Z33" s="12"/>
      <c r="AA33" s="12"/>
      <c r="AB33" s="12"/>
      <c r="AC33" s="12"/>
      <c r="AD33" s="12"/>
      <c r="AE33" s="12">
        <v>3</v>
      </c>
      <c r="AF33" s="12"/>
      <c r="AG33" s="12"/>
      <c r="AH33" s="12"/>
      <c r="AI33" s="12"/>
      <c r="AJ33" s="12"/>
      <c r="AK33" s="12"/>
      <c r="AL33" s="12"/>
      <c r="AM33" s="16"/>
    </row>
    <row r="34" spans="2:39" ht="25.05" customHeight="1">
      <c r="B34" s="15"/>
      <c r="C34" s="35"/>
      <c r="D34" s="23"/>
      <c r="E34" s="19" t="s">
        <v>373</v>
      </c>
      <c r="F34" s="9" t="s">
        <v>44</v>
      </c>
      <c r="G34" s="10">
        <v>0.62291666666666667</v>
      </c>
      <c r="H34" s="10">
        <v>0.625</v>
      </c>
      <c r="I34" s="11">
        <f t="shared" si="8"/>
        <v>2.0833333333333259E-3</v>
      </c>
      <c r="J34" s="12">
        <v>10</v>
      </c>
      <c r="K34" s="12">
        <v>3.68</v>
      </c>
      <c r="L34" s="13">
        <f t="shared" si="9"/>
        <v>7.360000000000027</v>
      </c>
      <c r="M34" s="12"/>
      <c r="N34" s="12"/>
      <c r="O34" s="12"/>
      <c r="P34" s="12"/>
      <c r="Q34" s="12"/>
      <c r="R34" s="14"/>
      <c r="S34" s="14"/>
      <c r="T34" s="12"/>
      <c r="U34" s="12"/>
      <c r="V34" s="14"/>
      <c r="W34" s="14">
        <v>2</v>
      </c>
      <c r="X34" s="12"/>
      <c r="Y34" s="12"/>
      <c r="Z34" s="12"/>
      <c r="AA34" s="12"/>
      <c r="AB34" s="12"/>
      <c r="AC34" s="12">
        <v>3</v>
      </c>
      <c r="AD34" s="12"/>
      <c r="AE34" s="12"/>
      <c r="AF34" s="12"/>
      <c r="AG34" s="12"/>
      <c r="AH34" s="12"/>
      <c r="AI34" s="12"/>
      <c r="AJ34" s="12"/>
      <c r="AK34" s="12"/>
      <c r="AL34" s="12"/>
      <c r="AM34" s="16"/>
    </row>
    <row r="35" spans="2:39" ht="25.05" customHeight="1">
      <c r="B35" s="15"/>
      <c r="C35" s="35"/>
      <c r="D35" s="23"/>
      <c r="E35" s="19" t="s">
        <v>374</v>
      </c>
      <c r="F35" s="9" t="s">
        <v>44</v>
      </c>
      <c r="G35" s="10">
        <v>0.62638888888888888</v>
      </c>
      <c r="H35" s="10">
        <v>0.62847222222222221</v>
      </c>
      <c r="I35" s="11">
        <f t="shared" si="8"/>
        <v>2.0833333333333259E-3</v>
      </c>
      <c r="J35" s="12">
        <v>10</v>
      </c>
      <c r="K35" s="12">
        <v>38.78</v>
      </c>
      <c r="L35" s="13">
        <f t="shared" si="9"/>
        <v>77.560000000000272</v>
      </c>
      <c r="M35" s="12"/>
      <c r="N35" s="12"/>
      <c r="O35" s="12"/>
      <c r="P35" s="12"/>
      <c r="Q35" s="12"/>
      <c r="R35" s="14"/>
      <c r="S35" s="14"/>
      <c r="T35" s="12"/>
      <c r="U35" s="12"/>
      <c r="V35" s="14">
        <v>2</v>
      </c>
      <c r="W35" s="14"/>
      <c r="X35" s="12"/>
      <c r="Y35" s="12"/>
      <c r="Z35" s="12"/>
      <c r="AA35" s="12"/>
      <c r="AB35" s="12">
        <v>3</v>
      </c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6"/>
    </row>
    <row r="36" spans="2:39" ht="25.05" customHeight="1">
      <c r="B36" s="15"/>
      <c r="C36" s="35"/>
      <c r="D36" s="23"/>
      <c r="E36" s="19" t="s">
        <v>375</v>
      </c>
      <c r="F36" s="9" t="s">
        <v>44</v>
      </c>
      <c r="G36" s="10">
        <v>0.62986111111111109</v>
      </c>
      <c r="H36" s="10">
        <v>0.63194444444444442</v>
      </c>
      <c r="I36" s="11">
        <f t="shared" si="8"/>
        <v>2.0833333333333259E-3</v>
      </c>
      <c r="J36" s="12">
        <v>10</v>
      </c>
      <c r="K36" s="12">
        <v>37.15</v>
      </c>
      <c r="L36" s="13">
        <f t="shared" si="9"/>
        <v>74.300000000000253</v>
      </c>
      <c r="M36" s="12"/>
      <c r="N36" s="12"/>
      <c r="O36" s="12"/>
      <c r="P36" s="12"/>
      <c r="Q36" s="12"/>
      <c r="R36" s="14"/>
      <c r="S36" s="14"/>
      <c r="T36" s="12"/>
      <c r="U36" s="12"/>
      <c r="V36" s="14"/>
      <c r="W36" s="14">
        <v>2</v>
      </c>
      <c r="X36" s="12"/>
      <c r="Y36" s="12"/>
      <c r="Z36" s="12"/>
      <c r="AA36" s="12"/>
      <c r="AB36" s="12"/>
      <c r="AC36" s="12"/>
      <c r="AD36" s="12">
        <v>3</v>
      </c>
      <c r="AE36" s="12"/>
      <c r="AF36" s="12"/>
      <c r="AG36" s="12"/>
      <c r="AH36" s="12"/>
      <c r="AI36" s="12"/>
      <c r="AJ36" s="12"/>
      <c r="AK36" s="12"/>
      <c r="AL36" s="12"/>
      <c r="AM36" s="16"/>
    </row>
    <row r="37" spans="2:39" ht="25.05" customHeight="1">
      <c r="B37" s="15"/>
      <c r="C37" s="35"/>
      <c r="D37" s="23"/>
      <c r="E37" s="19" t="s">
        <v>376</v>
      </c>
      <c r="F37" s="9" t="s">
        <v>44</v>
      </c>
      <c r="G37" s="10">
        <v>0.6333333333333333</v>
      </c>
      <c r="H37" s="10">
        <v>0.63541666666666663</v>
      </c>
      <c r="I37" s="11">
        <f t="shared" si="8"/>
        <v>2.0833333333333259E-3</v>
      </c>
      <c r="J37" s="12">
        <v>10</v>
      </c>
      <c r="K37" s="12">
        <v>36.92</v>
      </c>
      <c r="L37" s="13">
        <f t="shared" si="9"/>
        <v>73.840000000000273</v>
      </c>
      <c r="M37" s="12"/>
      <c r="N37" s="12"/>
      <c r="O37" s="12"/>
      <c r="P37" s="12"/>
      <c r="Q37" s="12"/>
      <c r="R37" s="14"/>
      <c r="S37" s="14"/>
      <c r="T37" s="12"/>
      <c r="U37" s="12"/>
      <c r="V37" s="14">
        <v>2</v>
      </c>
      <c r="W37" s="14"/>
      <c r="X37" s="12"/>
      <c r="Y37" s="12"/>
      <c r="Z37" s="12"/>
      <c r="AA37" s="12"/>
      <c r="AB37" s="12"/>
      <c r="AC37" s="12"/>
      <c r="AD37" s="12"/>
      <c r="AE37" s="12">
        <v>3</v>
      </c>
      <c r="AF37" s="12"/>
      <c r="AG37" s="12"/>
      <c r="AH37" s="12"/>
      <c r="AI37" s="12"/>
      <c r="AJ37" s="12"/>
      <c r="AK37" s="12"/>
      <c r="AL37" s="12"/>
      <c r="AM37" s="16"/>
    </row>
    <row r="38" spans="2:39" ht="25.05" customHeight="1">
      <c r="B38" s="15"/>
      <c r="C38" s="35"/>
      <c r="D38" s="23"/>
      <c r="E38" s="19" t="s">
        <v>377</v>
      </c>
      <c r="F38" s="9" t="s">
        <v>44</v>
      </c>
      <c r="G38" s="10">
        <v>0.63611111111111107</v>
      </c>
      <c r="H38" s="10">
        <v>0.6381944444444444</v>
      </c>
      <c r="I38" s="11">
        <f t="shared" si="8"/>
        <v>2.0833333333333259E-3</v>
      </c>
      <c r="J38" s="12">
        <v>10</v>
      </c>
      <c r="K38" s="12">
        <v>37.49</v>
      </c>
      <c r="L38" s="13">
        <f t="shared" si="9"/>
        <v>74.980000000000274</v>
      </c>
      <c r="M38" s="12"/>
      <c r="N38" s="12"/>
      <c r="O38" s="12"/>
      <c r="P38" s="12"/>
      <c r="Q38" s="12"/>
      <c r="R38" s="14"/>
      <c r="S38" s="14"/>
      <c r="T38" s="12"/>
      <c r="U38" s="12"/>
      <c r="V38" s="14"/>
      <c r="W38" s="14">
        <v>2</v>
      </c>
      <c r="X38" s="12"/>
      <c r="Y38" s="12"/>
      <c r="Z38" s="12"/>
      <c r="AA38" s="12"/>
      <c r="AB38" s="12"/>
      <c r="AC38" s="12">
        <v>3</v>
      </c>
      <c r="AD38" s="12"/>
      <c r="AE38" s="12"/>
      <c r="AF38" s="12"/>
      <c r="AG38" s="12"/>
      <c r="AH38" s="12"/>
      <c r="AI38" s="12"/>
      <c r="AJ38" s="12"/>
      <c r="AK38" s="12"/>
      <c r="AL38" s="12"/>
      <c r="AM38" s="16"/>
    </row>
    <row r="39" spans="2:39" ht="25.05" customHeight="1">
      <c r="B39" s="15"/>
      <c r="C39" s="35"/>
      <c r="D39" s="23"/>
      <c r="E39" s="19" t="s">
        <v>378</v>
      </c>
      <c r="F39" s="9" t="s">
        <v>44</v>
      </c>
      <c r="G39" s="10">
        <v>0.64097222222222228</v>
      </c>
      <c r="H39" s="10">
        <v>0.6430555555555556</v>
      </c>
      <c r="I39" s="11">
        <f t="shared" si="8"/>
        <v>2.0833333333333259E-3</v>
      </c>
      <c r="J39" s="12">
        <v>10</v>
      </c>
      <c r="K39" s="12">
        <v>37.71</v>
      </c>
      <c r="L39" s="13">
        <f t="shared" si="9"/>
        <v>75.420000000000272</v>
      </c>
      <c r="M39" s="12"/>
      <c r="N39" s="12"/>
      <c r="O39" s="12"/>
      <c r="P39" s="12"/>
      <c r="Q39" s="12"/>
      <c r="R39" s="14"/>
      <c r="S39" s="14"/>
      <c r="T39" s="12"/>
      <c r="U39" s="12"/>
      <c r="V39" s="14">
        <v>2</v>
      </c>
      <c r="W39" s="14"/>
      <c r="X39" s="12"/>
      <c r="Y39" s="12"/>
      <c r="Z39" s="12"/>
      <c r="AA39" s="12"/>
      <c r="AB39" s="12">
        <v>3</v>
      </c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6"/>
    </row>
    <row r="40" spans="2:39" ht="25.05" customHeight="1">
      <c r="B40" s="15"/>
      <c r="C40" s="35"/>
      <c r="D40" s="23"/>
      <c r="E40" s="19" t="s">
        <v>379</v>
      </c>
      <c r="F40" s="9" t="s">
        <v>44</v>
      </c>
      <c r="G40" s="10">
        <v>0.64375000000000004</v>
      </c>
      <c r="H40" s="10">
        <v>0.64583333333333337</v>
      </c>
      <c r="I40" s="11">
        <f t="shared" si="8"/>
        <v>2.0833333333333259E-3</v>
      </c>
      <c r="J40" s="12">
        <v>10</v>
      </c>
      <c r="K40" s="12">
        <v>36.96</v>
      </c>
      <c r="L40" s="13">
        <f t="shared" si="9"/>
        <v>73.920000000000258</v>
      </c>
      <c r="M40" s="12"/>
      <c r="N40" s="12"/>
      <c r="O40" s="12"/>
      <c r="P40" s="12"/>
      <c r="Q40" s="12"/>
      <c r="R40" s="14"/>
      <c r="S40" s="14"/>
      <c r="T40" s="12"/>
      <c r="U40" s="12"/>
      <c r="V40" s="14"/>
      <c r="W40" s="14">
        <v>2</v>
      </c>
      <c r="X40" s="12"/>
      <c r="Y40" s="12"/>
      <c r="Z40" s="12"/>
      <c r="AA40" s="12"/>
      <c r="AB40" s="12"/>
      <c r="AC40" s="12"/>
      <c r="AD40" s="12">
        <v>3</v>
      </c>
      <c r="AE40" s="12"/>
      <c r="AF40" s="12"/>
      <c r="AG40" s="12"/>
      <c r="AH40" s="12"/>
      <c r="AI40" s="12"/>
      <c r="AJ40" s="12"/>
      <c r="AK40" s="12"/>
      <c r="AL40" s="12"/>
      <c r="AM40" s="16"/>
    </row>
    <row r="41" spans="2:39" ht="25.05" customHeight="1">
      <c r="B41" s="15"/>
      <c r="C41" s="35"/>
      <c r="D41" s="23"/>
      <c r="E41" s="19" t="s">
        <v>380</v>
      </c>
      <c r="F41" s="9" t="s">
        <v>44</v>
      </c>
      <c r="G41" s="10">
        <v>0.64652777777777781</v>
      </c>
      <c r="H41" s="10">
        <v>0.64861111111111114</v>
      </c>
      <c r="I41" s="11">
        <f t="shared" si="8"/>
        <v>2.0833333333333259E-3</v>
      </c>
      <c r="J41" s="12">
        <v>10</v>
      </c>
      <c r="K41" s="12">
        <v>37.53</v>
      </c>
      <c r="L41" s="13">
        <f t="shared" si="9"/>
        <v>75.060000000000272</v>
      </c>
      <c r="M41" s="12"/>
      <c r="N41" s="12"/>
      <c r="O41" s="12"/>
      <c r="P41" s="12"/>
      <c r="Q41" s="12"/>
      <c r="R41" s="14"/>
      <c r="S41" s="14"/>
      <c r="T41" s="12"/>
      <c r="U41" s="12"/>
      <c r="V41" s="14">
        <v>2</v>
      </c>
      <c r="W41" s="14"/>
      <c r="X41" s="12"/>
      <c r="Y41" s="12"/>
      <c r="Z41" s="12"/>
      <c r="AA41" s="12"/>
      <c r="AB41" s="12"/>
      <c r="AC41" s="12"/>
      <c r="AD41" s="12"/>
      <c r="AE41" s="12">
        <v>3</v>
      </c>
      <c r="AF41" s="12"/>
      <c r="AG41" s="12"/>
      <c r="AH41" s="12"/>
      <c r="AI41" s="12"/>
      <c r="AJ41" s="12"/>
      <c r="AK41" s="12"/>
      <c r="AL41" s="12"/>
      <c r="AM41" s="16"/>
    </row>
    <row r="42" spans="2:39" ht="25.05" customHeight="1">
      <c r="B42" s="15"/>
      <c r="C42" s="35"/>
      <c r="D42" s="23"/>
      <c r="E42" s="19" t="s">
        <v>381</v>
      </c>
      <c r="F42" s="9" t="s">
        <v>44</v>
      </c>
      <c r="G42" s="10">
        <v>0.65</v>
      </c>
      <c r="H42" s="10">
        <v>0.65208333333333335</v>
      </c>
      <c r="I42" s="11">
        <f t="shared" si="8"/>
        <v>2.0833333333333259E-3</v>
      </c>
      <c r="J42" s="12">
        <v>10</v>
      </c>
      <c r="K42" s="12">
        <v>37.32</v>
      </c>
      <c r="L42" s="13">
        <f t="shared" si="9"/>
        <v>74.640000000000256</v>
      </c>
      <c r="M42" s="12"/>
      <c r="N42" s="12"/>
      <c r="O42" s="12"/>
      <c r="P42" s="12"/>
      <c r="Q42" s="12"/>
      <c r="R42" s="14"/>
      <c r="S42" s="14"/>
      <c r="T42" s="12"/>
      <c r="U42" s="12"/>
      <c r="V42" s="14"/>
      <c r="W42" s="14">
        <v>2</v>
      </c>
      <c r="X42" s="12"/>
      <c r="Y42" s="12"/>
      <c r="Z42" s="12"/>
      <c r="AA42" s="12"/>
      <c r="AB42" s="12"/>
      <c r="AC42" s="12">
        <v>3</v>
      </c>
      <c r="AD42" s="12"/>
      <c r="AE42" s="12"/>
      <c r="AF42" s="12"/>
      <c r="AG42" s="12"/>
      <c r="AH42" s="12"/>
      <c r="AI42" s="12"/>
      <c r="AJ42" s="12"/>
      <c r="AK42" s="12"/>
      <c r="AL42" s="12"/>
      <c r="AM42" s="16"/>
    </row>
    <row r="43" spans="2:39" ht="25.05" customHeight="1">
      <c r="B43" s="15"/>
      <c r="C43" s="35"/>
      <c r="D43" s="23"/>
      <c r="E43" s="19" t="s">
        <v>382</v>
      </c>
      <c r="F43" s="9" t="s">
        <v>44</v>
      </c>
      <c r="G43" s="10">
        <v>0.65347222222222223</v>
      </c>
      <c r="H43" s="10">
        <v>0.65555555555555556</v>
      </c>
      <c r="I43" s="11">
        <f t="shared" si="8"/>
        <v>2.0833333333333259E-3</v>
      </c>
      <c r="J43" s="12">
        <v>10</v>
      </c>
      <c r="K43" s="12">
        <v>37.18</v>
      </c>
      <c r="L43" s="13">
        <f t="shared" si="9"/>
        <v>74.360000000000255</v>
      </c>
      <c r="M43" s="12"/>
      <c r="N43" s="12"/>
      <c r="O43" s="12"/>
      <c r="P43" s="12"/>
      <c r="Q43" s="12"/>
      <c r="R43" s="14"/>
      <c r="S43" s="14"/>
      <c r="T43" s="12"/>
      <c r="U43" s="12"/>
      <c r="V43" s="14">
        <v>2</v>
      </c>
      <c r="W43" s="14"/>
      <c r="X43" s="12"/>
      <c r="Y43" s="12"/>
      <c r="Z43" s="12"/>
      <c r="AA43" s="12"/>
      <c r="AB43" s="12">
        <v>3</v>
      </c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6"/>
    </row>
    <row r="44" spans="2:39" ht="25.05" customHeight="1">
      <c r="B44" s="15"/>
      <c r="C44" s="35"/>
      <c r="D44" s="23"/>
      <c r="E44" s="19" t="s">
        <v>383</v>
      </c>
      <c r="F44" s="9" t="s">
        <v>44</v>
      </c>
      <c r="G44" s="10">
        <v>0.65555555555555556</v>
      </c>
      <c r="H44" s="10">
        <v>0.65763888888888888</v>
      </c>
      <c r="I44" s="11">
        <f t="shared" si="8"/>
        <v>2.0833333333333259E-3</v>
      </c>
      <c r="J44" s="12">
        <v>10</v>
      </c>
      <c r="K44" s="12">
        <v>37.1</v>
      </c>
      <c r="L44" s="13">
        <f t="shared" si="9"/>
        <v>74.200000000000259</v>
      </c>
      <c r="M44" s="12"/>
      <c r="N44" s="12"/>
      <c r="O44" s="12"/>
      <c r="P44" s="12"/>
      <c r="Q44" s="12"/>
      <c r="R44" s="14"/>
      <c r="S44" s="14"/>
      <c r="T44" s="12"/>
      <c r="U44" s="12"/>
      <c r="V44" s="14"/>
      <c r="W44" s="14">
        <v>2</v>
      </c>
      <c r="X44" s="12"/>
      <c r="Y44" s="12"/>
      <c r="Z44" s="12"/>
      <c r="AA44" s="12"/>
      <c r="AB44" s="12"/>
      <c r="AC44" s="12"/>
      <c r="AD44" s="12">
        <v>3</v>
      </c>
      <c r="AE44" s="12"/>
      <c r="AF44" s="12"/>
      <c r="AG44" s="12"/>
      <c r="AH44" s="12"/>
      <c r="AI44" s="12"/>
      <c r="AJ44" s="12"/>
      <c r="AK44" s="12"/>
      <c r="AL44" s="12"/>
      <c r="AM44" s="16"/>
    </row>
    <row r="45" spans="2:39" ht="25.05" customHeight="1">
      <c r="B45" s="15"/>
      <c r="C45" s="35"/>
      <c r="D45" s="23"/>
      <c r="E45" s="19" t="s">
        <v>384</v>
      </c>
      <c r="F45" s="9" t="s">
        <v>44</v>
      </c>
      <c r="G45" s="10">
        <v>0.65972222222222221</v>
      </c>
      <c r="H45" s="10">
        <v>0.66180555555555554</v>
      </c>
      <c r="I45" s="11">
        <f t="shared" si="8"/>
        <v>2.0833333333333259E-3</v>
      </c>
      <c r="J45" s="12">
        <v>10</v>
      </c>
      <c r="K45" s="12">
        <v>37.17</v>
      </c>
      <c r="L45" s="13">
        <f t="shared" si="9"/>
        <v>74.340000000000273</v>
      </c>
      <c r="M45" s="12"/>
      <c r="N45" s="12"/>
      <c r="O45" s="12"/>
      <c r="P45" s="12"/>
      <c r="Q45" s="12"/>
      <c r="R45" s="14"/>
      <c r="S45" s="14"/>
      <c r="T45" s="12"/>
      <c r="U45" s="12"/>
      <c r="V45" s="14">
        <v>2</v>
      </c>
      <c r="W45" s="14"/>
      <c r="X45" s="12"/>
      <c r="Y45" s="12"/>
      <c r="Z45" s="12"/>
      <c r="AA45" s="12"/>
      <c r="AB45" s="12"/>
      <c r="AC45" s="12"/>
      <c r="AD45" s="12"/>
      <c r="AE45" s="12">
        <v>3</v>
      </c>
      <c r="AF45" s="12"/>
      <c r="AG45" s="12"/>
      <c r="AH45" s="12"/>
      <c r="AI45" s="12"/>
      <c r="AJ45" s="12"/>
      <c r="AK45" s="12"/>
      <c r="AL45" s="12"/>
      <c r="AM45" s="16"/>
    </row>
    <row r="46" spans="2:39" ht="25.05" customHeight="1">
      <c r="B46" s="15"/>
      <c r="C46" s="35"/>
      <c r="D46" s="23"/>
      <c r="E46" s="19" t="s">
        <v>385</v>
      </c>
      <c r="F46" s="9" t="s">
        <v>44</v>
      </c>
      <c r="G46" s="10">
        <v>0.66180555555555554</v>
      </c>
      <c r="H46" s="10">
        <v>0.66388888888888886</v>
      </c>
      <c r="I46" s="11">
        <f t="shared" si="8"/>
        <v>2.0833333333333259E-3</v>
      </c>
      <c r="J46" s="12">
        <v>10</v>
      </c>
      <c r="K46" s="12">
        <v>36.159999999999997</v>
      </c>
      <c r="L46" s="13">
        <f t="shared" si="9"/>
        <v>72.320000000000249</v>
      </c>
      <c r="M46" s="12"/>
      <c r="N46" s="12"/>
      <c r="O46" s="12"/>
      <c r="P46" s="12"/>
      <c r="Q46" s="12"/>
      <c r="R46" s="14"/>
      <c r="S46" s="14"/>
      <c r="T46" s="12"/>
      <c r="U46" s="12"/>
      <c r="V46" s="14"/>
      <c r="W46" s="14">
        <v>2</v>
      </c>
      <c r="X46" s="12"/>
      <c r="Y46" s="12"/>
      <c r="Z46" s="12"/>
      <c r="AA46" s="12"/>
      <c r="AB46" s="12"/>
      <c r="AC46" s="12">
        <v>3</v>
      </c>
      <c r="AD46" s="12"/>
      <c r="AE46" s="12"/>
      <c r="AF46" s="12"/>
      <c r="AG46" s="12"/>
      <c r="AH46" s="12"/>
      <c r="AI46" s="12"/>
      <c r="AJ46" s="12"/>
      <c r="AK46" s="12"/>
      <c r="AL46" s="12"/>
      <c r="AM46" s="16"/>
    </row>
    <row r="47" spans="2:39" ht="25.05" customHeight="1">
      <c r="B47" s="15"/>
      <c r="C47" s="35"/>
      <c r="D47" s="23"/>
      <c r="E47" s="19" t="s">
        <v>386</v>
      </c>
      <c r="F47" s="9" t="s">
        <v>44</v>
      </c>
      <c r="G47" s="10">
        <v>0.6645833333333333</v>
      </c>
      <c r="H47" s="10">
        <v>0.66666666666666663</v>
      </c>
      <c r="I47" s="11">
        <f t="shared" si="8"/>
        <v>2.0833333333333259E-3</v>
      </c>
      <c r="J47" s="12">
        <v>10</v>
      </c>
      <c r="K47" s="12">
        <v>37.06</v>
      </c>
      <c r="L47" s="13">
        <f t="shared" si="9"/>
        <v>74.120000000000275</v>
      </c>
      <c r="M47" s="12"/>
      <c r="N47" s="12"/>
      <c r="O47" s="12"/>
      <c r="P47" s="12"/>
      <c r="Q47" s="12"/>
      <c r="R47" s="14"/>
      <c r="S47" s="14"/>
      <c r="T47" s="12"/>
      <c r="U47" s="12"/>
      <c r="V47" s="14">
        <v>2</v>
      </c>
      <c r="W47" s="14"/>
      <c r="X47" s="12"/>
      <c r="Y47" s="12"/>
      <c r="Z47" s="12"/>
      <c r="AA47" s="12"/>
      <c r="AB47" s="12">
        <v>3</v>
      </c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6"/>
    </row>
    <row r="48" spans="2:39" ht="25.05" customHeight="1">
      <c r="B48" s="15"/>
      <c r="C48" s="35"/>
      <c r="D48" s="23"/>
      <c r="E48" s="19" t="s">
        <v>387</v>
      </c>
      <c r="F48" s="9" t="s">
        <v>44</v>
      </c>
      <c r="G48" s="10">
        <v>0.66736111111111107</v>
      </c>
      <c r="H48" s="10">
        <v>0.6694444444444444</v>
      </c>
      <c r="I48" s="11">
        <f t="shared" si="8"/>
        <v>2.0833333333333259E-3</v>
      </c>
      <c r="J48" s="12">
        <v>10</v>
      </c>
      <c r="K48" s="12">
        <v>37.33</v>
      </c>
      <c r="L48" s="13">
        <f t="shared" si="9"/>
        <v>74.660000000000267</v>
      </c>
      <c r="M48" s="12"/>
      <c r="N48" s="12"/>
      <c r="O48" s="12"/>
      <c r="P48" s="12"/>
      <c r="Q48" s="12"/>
      <c r="R48" s="14"/>
      <c r="S48" s="14"/>
      <c r="T48" s="12"/>
      <c r="U48" s="12"/>
      <c r="V48" s="14"/>
      <c r="W48" s="14">
        <v>2</v>
      </c>
      <c r="X48" s="12"/>
      <c r="Y48" s="12"/>
      <c r="Z48" s="12"/>
      <c r="AA48" s="12"/>
      <c r="AB48" s="12"/>
      <c r="AC48" s="12"/>
      <c r="AD48" s="12">
        <v>3</v>
      </c>
      <c r="AE48" s="12"/>
      <c r="AF48" s="12"/>
      <c r="AG48" s="12"/>
      <c r="AH48" s="12"/>
      <c r="AI48" s="12"/>
      <c r="AJ48" s="12"/>
      <c r="AK48" s="12"/>
      <c r="AL48" s="12"/>
      <c r="AM48" s="16"/>
    </row>
    <row r="49" spans="1:39" ht="25.05" customHeight="1">
      <c r="B49" s="15"/>
      <c r="C49" s="35"/>
      <c r="D49" s="23"/>
      <c r="E49" s="19" t="s">
        <v>388</v>
      </c>
      <c r="F49" s="9" t="s">
        <v>44</v>
      </c>
      <c r="G49" s="10">
        <v>0.67013888888888884</v>
      </c>
      <c r="H49" s="10">
        <v>0.67222222222222228</v>
      </c>
      <c r="I49" s="11">
        <f t="shared" si="8"/>
        <v>2.083333333333437E-3</v>
      </c>
      <c r="J49" s="12">
        <v>10</v>
      </c>
      <c r="K49" s="12">
        <v>37.04</v>
      </c>
      <c r="L49" s="13">
        <f t="shared" si="9"/>
        <v>74.079999999996318</v>
      </c>
      <c r="M49" s="12"/>
      <c r="N49" s="12"/>
      <c r="O49" s="12"/>
      <c r="P49" s="12"/>
      <c r="Q49" s="12"/>
      <c r="R49" s="14"/>
      <c r="S49" s="14"/>
      <c r="T49" s="12"/>
      <c r="U49" s="12"/>
      <c r="V49" s="14">
        <v>2</v>
      </c>
      <c r="W49" s="14"/>
      <c r="X49" s="12"/>
      <c r="Y49" s="12"/>
      <c r="Z49" s="12"/>
      <c r="AA49" s="12"/>
      <c r="AB49" s="12"/>
      <c r="AC49" s="12"/>
      <c r="AD49" s="12"/>
      <c r="AE49" s="12">
        <v>3</v>
      </c>
      <c r="AF49" s="12"/>
      <c r="AG49" s="12"/>
      <c r="AH49" s="12"/>
      <c r="AI49" s="12"/>
      <c r="AJ49" s="12"/>
      <c r="AK49" s="12"/>
      <c r="AL49" s="12"/>
      <c r="AM49" s="16"/>
    </row>
    <row r="50" spans="1:39" ht="25.05" customHeight="1">
      <c r="B50" s="15"/>
      <c r="C50" s="35"/>
      <c r="D50" s="23"/>
      <c r="E50" s="19" t="s">
        <v>389</v>
      </c>
      <c r="F50" s="9" t="s">
        <v>44</v>
      </c>
      <c r="G50" s="10">
        <v>0.67222222222222228</v>
      </c>
      <c r="H50" s="10">
        <v>0.6743055555555556</v>
      </c>
      <c r="I50" s="11">
        <f t="shared" si="8"/>
        <v>2.0833333333333259E-3</v>
      </c>
      <c r="J50" s="12">
        <v>10</v>
      </c>
      <c r="K50" s="12">
        <v>37.33</v>
      </c>
      <c r="L50" s="13">
        <f t="shared" si="9"/>
        <v>74.660000000000267</v>
      </c>
      <c r="M50" s="12"/>
      <c r="N50" s="12"/>
      <c r="O50" s="12"/>
      <c r="P50" s="12"/>
      <c r="Q50" s="12"/>
      <c r="R50" s="14"/>
      <c r="S50" s="14"/>
      <c r="T50" s="12"/>
      <c r="U50" s="12"/>
      <c r="V50" s="14"/>
      <c r="W50" s="14">
        <v>2</v>
      </c>
      <c r="X50" s="12"/>
      <c r="Y50" s="12"/>
      <c r="Z50" s="12"/>
      <c r="AA50" s="12"/>
      <c r="AB50" s="12"/>
      <c r="AC50" s="12">
        <v>2</v>
      </c>
      <c r="AD50" s="12"/>
      <c r="AE50" s="12"/>
      <c r="AF50" s="12"/>
      <c r="AG50" s="12"/>
      <c r="AH50" s="12"/>
      <c r="AI50" s="12"/>
      <c r="AJ50" s="12"/>
      <c r="AK50" s="12"/>
      <c r="AL50" s="12"/>
      <c r="AM50" s="16"/>
    </row>
    <row r="51" spans="1:39" ht="25.05" customHeight="1">
      <c r="B51" s="15"/>
      <c r="C51" s="35"/>
      <c r="D51" s="23"/>
      <c r="E51" s="94"/>
      <c r="F51" s="9" t="s">
        <v>44</v>
      </c>
      <c r="G51" s="10"/>
      <c r="H51" s="10"/>
      <c r="I51" s="11">
        <f t="shared" si="8"/>
        <v>0</v>
      </c>
      <c r="J51" s="12"/>
      <c r="K51" s="12"/>
      <c r="L51" s="13" t="str">
        <f t="shared" si="9"/>
        <v>0</v>
      </c>
      <c r="M51" s="12"/>
      <c r="N51" s="12"/>
      <c r="O51" s="12"/>
      <c r="P51" s="12"/>
      <c r="Q51" s="12"/>
      <c r="R51" s="14"/>
      <c r="S51" s="14"/>
      <c r="T51" s="12"/>
      <c r="U51" s="12"/>
      <c r="V51" s="14"/>
      <c r="W51" s="14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6"/>
    </row>
    <row r="52" spans="1:39" ht="25.05" customHeight="1">
      <c r="B52" s="15"/>
      <c r="C52" s="35"/>
      <c r="D52" s="23" t="s">
        <v>120</v>
      </c>
      <c r="E52" s="19" t="s">
        <v>121</v>
      </c>
      <c r="F52" s="9" t="s">
        <v>44</v>
      </c>
      <c r="G52" s="10">
        <v>0.62986111111111109</v>
      </c>
      <c r="H52" s="10">
        <v>0.66111111111111109</v>
      </c>
      <c r="I52" s="11">
        <f t="shared" si="8"/>
        <v>3.125E-2</v>
      </c>
      <c r="J52" s="12">
        <v>5</v>
      </c>
      <c r="K52" s="12">
        <v>81.540000000000006</v>
      </c>
      <c r="L52" s="13">
        <f t="shared" si="9"/>
        <v>21.744</v>
      </c>
      <c r="M52" s="12"/>
      <c r="N52" s="12"/>
      <c r="O52" s="12"/>
      <c r="P52" s="12"/>
      <c r="Q52" s="12"/>
      <c r="R52" s="14"/>
      <c r="S52" s="14"/>
      <c r="T52" s="12"/>
      <c r="U52" s="12"/>
      <c r="V52" s="14"/>
      <c r="W52" s="14">
        <v>5</v>
      </c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>
        <f>45/4</f>
        <v>11.25</v>
      </c>
      <c r="AI52" s="12">
        <f t="shared" ref="AI52:AK52" si="10">45/4</f>
        <v>11.25</v>
      </c>
      <c r="AJ52" s="12">
        <f t="shared" si="10"/>
        <v>11.25</v>
      </c>
      <c r="AK52" s="12">
        <f t="shared" si="10"/>
        <v>11.25</v>
      </c>
      <c r="AL52" s="12"/>
      <c r="AM52" s="16"/>
    </row>
    <row r="53" spans="1:39" ht="25.05" customHeight="1">
      <c r="B53" s="15"/>
      <c r="C53" s="35"/>
      <c r="D53" s="23"/>
      <c r="E53" s="19" t="s">
        <v>122</v>
      </c>
      <c r="F53" s="9" t="s">
        <v>44</v>
      </c>
      <c r="G53" s="10">
        <v>0.66249999999999998</v>
      </c>
      <c r="H53" s="10">
        <v>0.68611111111111112</v>
      </c>
      <c r="I53" s="11">
        <f t="shared" si="8"/>
        <v>2.3611111111111138E-2</v>
      </c>
      <c r="J53" s="12">
        <v>5</v>
      </c>
      <c r="K53" s="12">
        <v>85.58</v>
      </c>
      <c r="L53" s="13">
        <f t="shared" si="9"/>
        <v>30.204705882352908</v>
      </c>
      <c r="M53" s="12"/>
      <c r="N53" s="12"/>
      <c r="O53" s="12"/>
      <c r="P53" s="12"/>
      <c r="Q53" s="12"/>
      <c r="R53" s="14"/>
      <c r="S53" s="14"/>
      <c r="T53" s="12"/>
      <c r="U53" s="12"/>
      <c r="V53" s="14"/>
      <c r="W53" s="14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6"/>
    </row>
    <row r="54" spans="1:39" ht="25.05" customHeight="1">
      <c r="B54" s="15"/>
      <c r="C54" s="35"/>
      <c r="D54" s="23"/>
      <c r="E54" s="19" t="s">
        <v>123</v>
      </c>
      <c r="F54" s="9" t="s">
        <v>44</v>
      </c>
      <c r="G54" s="10">
        <v>0.66249999999999998</v>
      </c>
      <c r="H54" s="10">
        <v>0.70486111111111116</v>
      </c>
      <c r="I54" s="11">
        <f t="shared" si="8"/>
        <v>4.2361111111111183E-2</v>
      </c>
      <c r="J54" s="12">
        <v>5</v>
      </c>
      <c r="K54" s="12">
        <v>85.34</v>
      </c>
      <c r="L54" s="13">
        <f t="shared" si="9"/>
        <v>16.788196721311447</v>
      </c>
      <c r="M54" s="12"/>
      <c r="N54" s="12"/>
      <c r="O54" s="12"/>
      <c r="P54" s="12"/>
      <c r="Q54" s="12"/>
      <c r="R54" s="14"/>
      <c r="S54" s="14"/>
      <c r="T54" s="12"/>
      <c r="U54" s="12"/>
      <c r="V54" s="14"/>
      <c r="W54" s="14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6"/>
    </row>
    <row r="55" spans="1:39" ht="25.05" customHeight="1">
      <c r="B55" s="15"/>
      <c r="C55" s="35"/>
      <c r="D55" s="23"/>
      <c r="E55" s="19" t="s">
        <v>124</v>
      </c>
      <c r="F55" s="9" t="s">
        <v>44</v>
      </c>
      <c r="G55" s="10">
        <v>0.7055555555555556</v>
      </c>
      <c r="H55" s="10">
        <v>0.72430555555555554</v>
      </c>
      <c r="I55" s="11">
        <f t="shared" si="8"/>
        <v>1.8749999999999933E-2</v>
      </c>
      <c r="J55" s="12">
        <v>5</v>
      </c>
      <c r="K55" s="12">
        <v>87.89</v>
      </c>
      <c r="L55" s="13">
        <f t="shared" si="9"/>
        <v>39.06222222222236</v>
      </c>
      <c r="M55" s="12"/>
      <c r="N55" s="12"/>
      <c r="O55" s="12"/>
      <c r="P55" s="12"/>
      <c r="Q55" s="12"/>
      <c r="R55" s="14"/>
      <c r="S55" s="14"/>
      <c r="T55" s="12"/>
      <c r="U55" s="12"/>
      <c r="V55" s="14"/>
      <c r="W55" s="14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6"/>
    </row>
    <row r="56" spans="1:39" ht="25.05" customHeight="1">
      <c r="B56" s="15"/>
      <c r="C56" s="35"/>
      <c r="D56" s="23"/>
      <c r="E56" s="19" t="s">
        <v>125</v>
      </c>
      <c r="F56" s="9" t="s">
        <v>44</v>
      </c>
      <c r="G56" s="10">
        <v>0.72499999999999998</v>
      </c>
      <c r="H56" s="10">
        <v>0.74375000000000002</v>
      </c>
      <c r="I56" s="11">
        <f t="shared" si="8"/>
        <v>1.8750000000000044E-2</v>
      </c>
      <c r="J56" s="12">
        <v>5</v>
      </c>
      <c r="K56" s="12">
        <v>87.17</v>
      </c>
      <c r="L56" s="13">
        <f t="shared" si="9"/>
        <v>38.742222222222132</v>
      </c>
      <c r="M56" s="12"/>
      <c r="N56" s="12"/>
      <c r="O56" s="12"/>
      <c r="P56" s="12"/>
      <c r="Q56" s="12"/>
      <c r="R56" s="14"/>
      <c r="S56" s="14"/>
      <c r="T56" s="12"/>
      <c r="U56" s="12"/>
      <c r="V56" s="14"/>
      <c r="W56" s="14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6"/>
    </row>
    <row r="57" spans="1:39" ht="25.05" customHeight="1">
      <c r="B57" s="15"/>
      <c r="C57" s="35"/>
      <c r="D57" s="23"/>
      <c r="E57" s="19" t="s">
        <v>390</v>
      </c>
      <c r="F57" s="9" t="s">
        <v>44</v>
      </c>
      <c r="G57" s="10">
        <v>0.65694444444444444</v>
      </c>
      <c r="H57" s="10">
        <v>0.66805555555555551</v>
      </c>
      <c r="I57" s="11">
        <f t="shared" si="8"/>
        <v>1.1111111111111072E-2</v>
      </c>
      <c r="J57" s="12">
        <v>1</v>
      </c>
      <c r="K57" s="12">
        <f>3200*0.03</f>
        <v>96</v>
      </c>
      <c r="L57" s="13">
        <f t="shared" si="9"/>
        <v>360.00000000000131</v>
      </c>
      <c r="M57" s="12"/>
      <c r="N57" s="12"/>
      <c r="O57" s="12"/>
      <c r="P57" s="12"/>
      <c r="Q57" s="12"/>
      <c r="R57" s="14"/>
      <c r="S57" s="14"/>
      <c r="T57" s="12"/>
      <c r="U57" s="12"/>
      <c r="V57" s="14"/>
      <c r="W57" s="14">
        <v>3</v>
      </c>
      <c r="X57" s="14">
        <f>16/3</f>
        <v>5.333333333333333</v>
      </c>
      <c r="Y57" s="14">
        <f t="shared" ref="Y57:Z57" si="11">16/3</f>
        <v>5.333333333333333</v>
      </c>
      <c r="Z57" s="14">
        <f t="shared" si="11"/>
        <v>5.333333333333333</v>
      </c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6"/>
    </row>
    <row r="58" spans="1:39" ht="25.05" customHeight="1">
      <c r="B58" s="15"/>
      <c r="C58" s="35"/>
      <c r="D58" s="23"/>
      <c r="E58" s="19" t="s">
        <v>391</v>
      </c>
      <c r="F58" s="9" t="s">
        <v>44</v>
      </c>
      <c r="G58" s="10">
        <v>0.66874999999999996</v>
      </c>
      <c r="H58" s="10">
        <v>0.68472222222222223</v>
      </c>
      <c r="I58" s="11">
        <f t="shared" si="8"/>
        <v>1.5972222222222276E-2</v>
      </c>
      <c r="J58" s="12">
        <v>1</v>
      </c>
      <c r="K58" s="12">
        <v>96</v>
      </c>
      <c r="L58" s="13">
        <f t="shared" si="9"/>
        <v>250.4347826086948</v>
      </c>
      <c r="M58" s="12"/>
      <c r="N58" s="12"/>
      <c r="O58" s="12"/>
      <c r="P58" s="12"/>
      <c r="Q58" s="12"/>
      <c r="R58" s="14"/>
      <c r="S58" s="14"/>
      <c r="T58" s="12"/>
      <c r="U58" s="12"/>
      <c r="V58" s="14"/>
      <c r="W58" s="14">
        <v>3</v>
      </c>
      <c r="X58" s="14">
        <f>23/3</f>
        <v>7.666666666666667</v>
      </c>
      <c r="Y58" s="14">
        <f t="shared" ref="Y58:Z58" si="12">23/3</f>
        <v>7.666666666666667</v>
      </c>
      <c r="Z58" s="14">
        <f t="shared" si="12"/>
        <v>7.666666666666667</v>
      </c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6"/>
    </row>
    <row r="59" spans="1:39" ht="25.05" customHeight="1">
      <c r="B59" s="15"/>
      <c r="C59" s="35"/>
      <c r="D59" s="23"/>
      <c r="E59" s="19" t="s">
        <v>392</v>
      </c>
      <c r="F59" s="9" t="s">
        <v>44</v>
      </c>
      <c r="G59" s="10">
        <v>0.68541666666666667</v>
      </c>
      <c r="H59" s="10">
        <v>0.69930555555555551</v>
      </c>
      <c r="I59" s="11">
        <f t="shared" si="8"/>
        <v>1.388888888888884E-2</v>
      </c>
      <c r="J59" s="12">
        <v>1</v>
      </c>
      <c r="K59" s="12">
        <f>1280*0.03</f>
        <v>38.4</v>
      </c>
      <c r="L59" s="13">
        <f t="shared" si="9"/>
        <v>115.2000000000004</v>
      </c>
      <c r="M59" s="12"/>
      <c r="N59" s="12"/>
      <c r="O59" s="12"/>
      <c r="P59" s="12"/>
      <c r="Q59" s="12"/>
      <c r="R59" s="14"/>
      <c r="S59" s="14"/>
      <c r="T59" s="12"/>
      <c r="U59" s="12"/>
      <c r="V59" s="14"/>
      <c r="W59" s="14">
        <v>3</v>
      </c>
      <c r="X59" s="14">
        <f>20/3</f>
        <v>6.666666666666667</v>
      </c>
      <c r="Y59" s="14">
        <f t="shared" ref="Y59:Z59" si="13">20/3</f>
        <v>6.666666666666667</v>
      </c>
      <c r="Z59" s="14">
        <f t="shared" si="13"/>
        <v>6.666666666666667</v>
      </c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6"/>
    </row>
    <row r="60" spans="1:39" ht="25.05" customHeight="1">
      <c r="B60" s="15"/>
      <c r="C60" s="35"/>
      <c r="D60" s="23"/>
      <c r="E60" s="19"/>
      <c r="F60" s="9" t="s">
        <v>44</v>
      </c>
      <c r="G60" s="10"/>
      <c r="H60" s="10"/>
      <c r="I60" s="11">
        <f t="shared" si="8"/>
        <v>0</v>
      </c>
      <c r="J60" s="12"/>
      <c r="K60" s="12"/>
      <c r="L60" s="13" t="str">
        <f t="shared" si="9"/>
        <v>0</v>
      </c>
      <c r="M60" s="12"/>
      <c r="N60" s="12"/>
      <c r="O60" s="12"/>
      <c r="P60" s="12"/>
      <c r="Q60" s="12"/>
      <c r="R60" s="14"/>
      <c r="S60" s="14"/>
      <c r="T60" s="12"/>
      <c r="U60" s="12"/>
      <c r="V60" s="14"/>
      <c r="W60" s="14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6"/>
    </row>
    <row r="61" spans="1:39" ht="25.05" customHeight="1">
      <c r="B61" s="15"/>
      <c r="C61" s="35"/>
      <c r="D61" s="23"/>
      <c r="E61" s="19"/>
      <c r="F61" s="9" t="s">
        <v>44</v>
      </c>
      <c r="G61" s="10"/>
      <c r="H61" s="10"/>
      <c r="I61" s="11">
        <f t="shared" si="8"/>
        <v>0</v>
      </c>
      <c r="J61" s="12"/>
      <c r="K61" s="12"/>
      <c r="L61" s="13" t="str">
        <f t="shared" si="9"/>
        <v>0</v>
      </c>
      <c r="M61" s="12"/>
      <c r="N61" s="12"/>
      <c r="O61" s="12"/>
      <c r="P61" s="12"/>
      <c r="Q61" s="12"/>
      <c r="R61" s="14"/>
      <c r="S61" s="14"/>
      <c r="T61" s="12"/>
      <c r="U61" s="12"/>
      <c r="V61" s="14"/>
      <c r="W61" s="14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6"/>
    </row>
    <row r="62" spans="1:39" s="34" customFormat="1" ht="25.5" customHeight="1" thickBot="1">
      <c r="A62" s="1"/>
      <c r="B62" s="59"/>
      <c r="C62" s="60"/>
      <c r="D62" s="61"/>
      <c r="E62" s="62"/>
      <c r="F62" s="62"/>
      <c r="G62" s="63"/>
      <c r="H62" s="63"/>
      <c r="I62" s="64"/>
      <c r="J62" s="65"/>
      <c r="K62" s="65">
        <f t="shared" ref="K62:AD62" si="14">SUM(K15:K61)</f>
        <v>1904.25</v>
      </c>
      <c r="L62" s="33">
        <f t="shared" si="14"/>
        <v>3228.5261296568092</v>
      </c>
      <c r="M62" s="65">
        <f t="shared" si="14"/>
        <v>0</v>
      </c>
      <c r="N62" s="65">
        <f t="shared" si="14"/>
        <v>0</v>
      </c>
      <c r="O62" s="65">
        <f t="shared" si="14"/>
        <v>0</v>
      </c>
      <c r="P62" s="65">
        <f t="shared" si="14"/>
        <v>0</v>
      </c>
      <c r="Q62" s="65">
        <f t="shared" si="14"/>
        <v>0</v>
      </c>
      <c r="R62" s="65">
        <f t="shared" si="14"/>
        <v>0</v>
      </c>
      <c r="S62" s="65">
        <f t="shared" si="14"/>
        <v>0</v>
      </c>
      <c r="T62" s="65">
        <f t="shared" si="14"/>
        <v>0</v>
      </c>
      <c r="U62" s="65">
        <f t="shared" si="14"/>
        <v>0</v>
      </c>
      <c r="V62" s="65">
        <f t="shared" si="14"/>
        <v>37</v>
      </c>
      <c r="W62" s="65">
        <f t="shared" si="14"/>
        <v>51</v>
      </c>
      <c r="X62" s="66">
        <f t="shared" si="14"/>
        <v>19.666666666666668</v>
      </c>
      <c r="Y62" s="66">
        <f t="shared" si="14"/>
        <v>19.666666666666668</v>
      </c>
      <c r="Z62" s="66">
        <f t="shared" si="14"/>
        <v>19.666666666666668</v>
      </c>
      <c r="AA62" s="65">
        <f t="shared" si="14"/>
        <v>0</v>
      </c>
      <c r="AB62" s="65">
        <f t="shared" si="14"/>
        <v>33</v>
      </c>
      <c r="AC62" s="65">
        <f t="shared" si="14"/>
        <v>28</v>
      </c>
      <c r="AD62" s="65">
        <f t="shared" si="14"/>
        <v>25</v>
      </c>
      <c r="AE62" s="65"/>
      <c r="AF62" s="65">
        <f t="shared" ref="AF62:AM62" si="15">SUM(AF15:AF61)</f>
        <v>0</v>
      </c>
      <c r="AG62" s="65">
        <f t="shared" si="15"/>
        <v>0</v>
      </c>
      <c r="AH62" s="65">
        <f t="shared" si="15"/>
        <v>11.25</v>
      </c>
      <c r="AI62" s="65">
        <f t="shared" si="15"/>
        <v>11.25</v>
      </c>
      <c r="AJ62" s="65">
        <f t="shared" si="15"/>
        <v>11.25</v>
      </c>
      <c r="AK62" s="65">
        <f t="shared" si="15"/>
        <v>11.25</v>
      </c>
      <c r="AL62" s="65">
        <f t="shared" si="15"/>
        <v>0</v>
      </c>
      <c r="AM62" s="65">
        <f t="shared" si="15"/>
        <v>0</v>
      </c>
    </row>
    <row r="63" spans="1:39" ht="38.1" customHeight="1" thickBot="1">
      <c r="B63" s="67" t="s">
        <v>161</v>
      </c>
      <c r="C63" s="68"/>
      <c r="D63" s="68"/>
      <c r="E63" s="68"/>
      <c r="F63" s="68"/>
      <c r="G63" s="68"/>
      <c r="H63" s="68"/>
      <c r="I63" s="68"/>
      <c r="J63" s="68"/>
      <c r="K63" s="69">
        <f>K7+K14+K62</f>
        <v>2229.21</v>
      </c>
      <c r="L63" s="69">
        <f>L7+L14+L62</f>
        <v>3235.2961296568092</v>
      </c>
      <c r="M63" s="70">
        <f t="shared" ref="M63:AM63" si="16">(M7+M14+M62)/(480-15-30)</f>
        <v>0</v>
      </c>
      <c r="N63" s="70">
        <f t="shared" si="16"/>
        <v>0</v>
      </c>
      <c r="O63" s="70">
        <f t="shared" si="16"/>
        <v>0</v>
      </c>
      <c r="P63" s="70">
        <f t="shared" si="16"/>
        <v>0</v>
      </c>
      <c r="Q63" s="70">
        <f t="shared" si="16"/>
        <v>0</v>
      </c>
      <c r="R63" s="70">
        <f t="shared" si="16"/>
        <v>0</v>
      </c>
      <c r="S63" s="70">
        <f t="shared" si="16"/>
        <v>0</v>
      </c>
      <c r="T63" s="70">
        <f t="shared" si="16"/>
        <v>0.55172413793103448</v>
      </c>
      <c r="U63" s="70">
        <f t="shared" si="16"/>
        <v>0</v>
      </c>
      <c r="V63" s="70">
        <f t="shared" si="16"/>
        <v>8.5057471264367815E-2</v>
      </c>
      <c r="W63" s="70">
        <f t="shared" si="16"/>
        <v>0.11724137931034483</v>
      </c>
      <c r="X63" s="70">
        <f t="shared" si="16"/>
        <v>4.5210727969348663E-2</v>
      </c>
      <c r="Y63" s="70">
        <f t="shared" si="16"/>
        <v>4.5210727969348663E-2</v>
      </c>
      <c r="Z63" s="70">
        <f t="shared" si="16"/>
        <v>4.5210727969348663E-2</v>
      </c>
      <c r="AA63" s="70">
        <f t="shared" si="16"/>
        <v>0</v>
      </c>
      <c r="AB63" s="70">
        <f t="shared" si="16"/>
        <v>7.586206896551724E-2</v>
      </c>
      <c r="AC63" s="70">
        <f t="shared" si="16"/>
        <v>6.4367816091954022E-2</v>
      </c>
      <c r="AD63" s="70">
        <f t="shared" si="16"/>
        <v>5.7471264367816091E-2</v>
      </c>
      <c r="AE63" s="70">
        <f t="shared" si="16"/>
        <v>0</v>
      </c>
      <c r="AF63" s="70">
        <f t="shared" si="16"/>
        <v>0</v>
      </c>
      <c r="AG63" s="70">
        <f t="shared" si="16"/>
        <v>0</v>
      </c>
      <c r="AH63" s="70">
        <f t="shared" si="16"/>
        <v>2.5862068965517241E-2</v>
      </c>
      <c r="AI63" s="70">
        <f t="shared" si="16"/>
        <v>2.5862068965517241E-2</v>
      </c>
      <c r="AJ63" s="70">
        <f t="shared" si="16"/>
        <v>2.5862068965517241E-2</v>
      </c>
      <c r="AK63" s="70">
        <f t="shared" si="16"/>
        <v>2.5862068965517241E-2</v>
      </c>
      <c r="AL63" s="70">
        <f t="shared" si="16"/>
        <v>0</v>
      </c>
      <c r="AM63" s="70">
        <f t="shared" si="16"/>
        <v>0</v>
      </c>
    </row>
    <row r="64" spans="1:39" ht="25.05" customHeight="1">
      <c r="B64" s="71"/>
      <c r="C64" s="71"/>
      <c r="D64" s="71"/>
      <c r="E64" s="72"/>
      <c r="F64" s="72"/>
      <c r="G64" s="72"/>
      <c r="H64" s="72"/>
      <c r="I64" s="73"/>
      <c r="J64" s="73"/>
      <c r="K64" s="72"/>
      <c r="L64" s="74"/>
      <c r="M64" s="74"/>
      <c r="N64" s="74"/>
      <c r="O64" s="74"/>
      <c r="P64" s="74"/>
      <c r="Q64" s="72"/>
      <c r="R64" s="72"/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</row>
    <row r="65" spans="2:37" ht="25.05" customHeight="1">
      <c r="B65" s="71"/>
      <c r="C65" s="71"/>
      <c r="D65" s="71"/>
      <c r="E65" s="72"/>
      <c r="F65" s="72"/>
      <c r="G65" s="72"/>
      <c r="H65" s="72"/>
      <c r="I65" s="75" t="s">
        <v>162</v>
      </c>
      <c r="J65" s="73"/>
      <c r="K65" s="72"/>
      <c r="L65" s="74"/>
      <c r="M65" s="74"/>
      <c r="N65" s="74"/>
      <c r="O65" s="74"/>
      <c r="P65" s="74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</row>
    <row r="66" spans="2:37" ht="25.05" customHeight="1">
      <c r="B66" s="71"/>
      <c r="C66" s="71"/>
      <c r="D66" s="71"/>
      <c r="E66" s="72"/>
      <c r="F66" s="72"/>
      <c r="G66" s="72"/>
      <c r="H66" s="72"/>
      <c r="I66" s="76" t="s">
        <v>163</v>
      </c>
      <c r="J66" s="10">
        <v>0</v>
      </c>
      <c r="K66" s="12">
        <v>10</v>
      </c>
      <c r="L66" s="12" t="s">
        <v>164</v>
      </c>
      <c r="M66" s="74"/>
      <c r="N66" s="16">
        <v>2</v>
      </c>
      <c r="O66" s="16"/>
      <c r="P66" s="16"/>
      <c r="Q66" s="77" t="s">
        <v>165</v>
      </c>
      <c r="R66" s="78"/>
      <c r="S66" s="72"/>
      <c r="T66" s="72"/>
      <c r="U66" s="72"/>
      <c r="V66" s="72"/>
      <c r="W66" s="72"/>
      <c r="X66" s="72"/>
      <c r="Y66" s="72"/>
      <c r="Z66" s="72"/>
      <c r="AA66" s="72"/>
      <c r="AC66" s="72"/>
      <c r="AD66" s="72"/>
      <c r="AE66" s="72"/>
      <c r="AF66" s="72"/>
      <c r="AG66" s="72"/>
      <c r="AH66" s="72"/>
      <c r="AI66" s="72"/>
    </row>
    <row r="67" spans="2:37" ht="25.05" customHeight="1">
      <c r="B67" s="71"/>
      <c r="C67" s="71"/>
      <c r="D67" s="71"/>
      <c r="E67" s="72"/>
      <c r="F67" s="72"/>
      <c r="G67" s="72"/>
      <c r="H67" s="72"/>
      <c r="I67" s="76" t="s">
        <v>166</v>
      </c>
      <c r="J67" s="10">
        <v>0</v>
      </c>
      <c r="K67" s="12">
        <v>3</v>
      </c>
      <c r="L67" s="12" t="s">
        <v>164</v>
      </c>
      <c r="M67" s="74"/>
      <c r="N67" s="16">
        <v>4</v>
      </c>
      <c r="O67" s="16"/>
      <c r="P67" s="16"/>
      <c r="Q67" s="77" t="s">
        <v>167</v>
      </c>
      <c r="R67" s="78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</row>
    <row r="68" spans="2:37" ht="25.05" customHeight="1">
      <c r="B68" s="71"/>
      <c r="C68" s="71"/>
      <c r="D68" s="71"/>
      <c r="E68" s="72"/>
      <c r="F68" s="72"/>
      <c r="G68" s="72"/>
      <c r="H68" s="72"/>
      <c r="I68" s="76" t="s">
        <v>168</v>
      </c>
      <c r="J68" s="10">
        <v>0</v>
      </c>
      <c r="K68" s="12">
        <v>18</v>
      </c>
      <c r="L68" s="12" t="s">
        <v>164</v>
      </c>
      <c r="M68" s="74"/>
      <c r="N68" s="16">
        <v>1</v>
      </c>
      <c r="O68" s="16"/>
      <c r="P68" s="16"/>
      <c r="Q68" s="77" t="s">
        <v>169</v>
      </c>
      <c r="R68" s="78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</row>
    <row r="69" spans="2:37" ht="25.05" customHeight="1">
      <c r="B69" s="71"/>
      <c r="C69" s="71"/>
      <c r="D69" s="71"/>
      <c r="E69" s="72"/>
      <c r="F69" s="72"/>
      <c r="G69" s="72"/>
      <c r="H69" s="72"/>
      <c r="I69" s="79" t="s">
        <v>170</v>
      </c>
      <c r="J69" s="52">
        <v>0</v>
      </c>
      <c r="K69" s="12">
        <v>5</v>
      </c>
      <c r="L69" s="53" t="s">
        <v>164</v>
      </c>
      <c r="M69" s="74"/>
      <c r="N69" s="16">
        <v>3</v>
      </c>
      <c r="O69" s="16"/>
      <c r="P69" s="16"/>
      <c r="Q69" s="77" t="s">
        <v>171</v>
      </c>
      <c r="R69" s="78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</row>
    <row r="70" spans="2:37" ht="25.05" customHeight="1">
      <c r="B70" s="71"/>
      <c r="C70" s="71"/>
      <c r="D70" s="71"/>
      <c r="E70" s="72"/>
      <c r="F70" s="72"/>
      <c r="G70" s="72"/>
      <c r="H70" s="72"/>
      <c r="I70" s="76" t="s">
        <v>172</v>
      </c>
      <c r="J70" s="10">
        <v>0</v>
      </c>
      <c r="K70" s="12">
        <v>36</v>
      </c>
      <c r="L70" s="12" t="s">
        <v>164</v>
      </c>
      <c r="M70" s="74"/>
      <c r="N70"/>
      <c r="O70"/>
      <c r="P70"/>
      <c r="Q70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</row>
    <row r="71" spans="2:37" ht="25.05" customHeight="1">
      <c r="B71" s="71"/>
      <c r="C71" s="71"/>
      <c r="D71" s="71"/>
      <c r="E71" s="72"/>
      <c r="F71" s="72"/>
      <c r="G71" s="72"/>
      <c r="H71" s="72"/>
      <c r="M71" s="74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</row>
    <row r="72" spans="2:37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M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FAE95-40D0-4E9A-B172-B630977E2BA5}">
  <sheetPr>
    <pageSetUpPr fitToPage="1"/>
  </sheetPr>
  <dimension ref="A1:AM112"/>
  <sheetViews>
    <sheetView zoomScale="70" zoomScaleNormal="70" workbookViewId="0">
      <pane xSplit="12" ySplit="3" topLeftCell="S4" activePane="bottomRight" state="frozen"/>
      <selection activeCell="D38" sqref="D38"/>
      <selection pane="topRight" activeCell="D38" sqref="D38"/>
      <selection pane="bottomLeft" activeCell="D38" sqref="D38"/>
      <selection pane="bottomRight" activeCell="D38" sqref="D38"/>
    </sheetView>
  </sheetViews>
  <sheetFormatPr defaultColWidth="10.21875" defaultRowHeight="18.75" customHeight="1"/>
  <cols>
    <col min="1" max="1" width="3.77734375" style="1" customWidth="1"/>
    <col min="2" max="2" width="13" style="1" customWidth="1"/>
    <col min="3" max="3" width="17.5546875" style="1" customWidth="1"/>
    <col min="4" max="4" width="78.21875" style="1" customWidth="1"/>
    <col min="5" max="5" width="46" style="1" customWidth="1"/>
    <col min="6" max="6" width="25.21875" style="1" customWidth="1"/>
    <col min="7" max="7" width="13.44140625" style="1" customWidth="1"/>
    <col min="8" max="8" width="12.5546875" style="1" customWidth="1"/>
    <col min="9" max="9" width="22.5546875" style="1" customWidth="1"/>
    <col min="10" max="10" width="12.5546875" style="1" customWidth="1"/>
    <col min="11" max="11" width="17.44140625" style="1" customWidth="1"/>
    <col min="12" max="12" width="20.77734375" style="1" customWidth="1"/>
    <col min="13" max="31" width="16.21875" style="1" customWidth="1"/>
    <col min="32" max="32" width="17.77734375" style="1" customWidth="1"/>
    <col min="33" max="38" width="16.21875" style="1" customWidth="1"/>
    <col min="39" max="39" width="14.44140625" style="1" customWidth="1"/>
    <col min="40" max="16384" width="10.21875" style="1"/>
  </cols>
  <sheetData>
    <row r="1" spans="1:39" ht="18.75" customHeight="1">
      <c r="A1" s="1" t="s">
        <v>0</v>
      </c>
    </row>
    <row r="2" spans="1:39" ht="25.05" customHeight="1">
      <c r="B2" s="114" t="s">
        <v>1</v>
      </c>
      <c r="C2" s="114" t="s">
        <v>2</v>
      </c>
      <c r="D2" s="114" t="s">
        <v>3</v>
      </c>
      <c r="E2" s="114" t="s">
        <v>4</v>
      </c>
      <c r="F2" s="114" t="s">
        <v>5</v>
      </c>
      <c r="G2" s="115" t="s">
        <v>6</v>
      </c>
      <c r="H2" s="115"/>
      <c r="I2" s="109" t="s">
        <v>7</v>
      </c>
      <c r="J2" s="110" t="s">
        <v>8</v>
      </c>
      <c r="K2" s="110" t="s">
        <v>9</v>
      </c>
      <c r="L2" s="110" t="s">
        <v>10</v>
      </c>
      <c r="M2" s="111" t="s">
        <v>11</v>
      </c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3"/>
    </row>
    <row r="3" spans="1:39" ht="46.5" customHeight="1">
      <c r="B3" s="114"/>
      <c r="C3" s="114"/>
      <c r="D3" s="114"/>
      <c r="E3" s="114"/>
      <c r="F3" s="114"/>
      <c r="G3" s="3" t="s">
        <v>12</v>
      </c>
      <c r="H3" s="3" t="s">
        <v>13</v>
      </c>
      <c r="I3" s="109"/>
      <c r="J3" s="110"/>
      <c r="K3" s="110"/>
      <c r="L3" s="110"/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4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  <c r="AB3" s="2" t="s">
        <v>29</v>
      </c>
      <c r="AC3" s="2" t="s">
        <v>30</v>
      </c>
      <c r="AD3" s="2" t="s">
        <v>31</v>
      </c>
      <c r="AE3" s="2" t="s">
        <v>32</v>
      </c>
      <c r="AF3" s="2" t="s">
        <v>33</v>
      </c>
      <c r="AG3" s="2" t="s">
        <v>34</v>
      </c>
      <c r="AH3" s="2" t="s">
        <v>35</v>
      </c>
      <c r="AI3" s="2" t="s">
        <v>36</v>
      </c>
      <c r="AJ3" s="2" t="s">
        <v>37</v>
      </c>
      <c r="AK3" s="2" t="s">
        <v>38</v>
      </c>
      <c r="AL3" s="2" t="s">
        <v>39</v>
      </c>
      <c r="AM3" s="2" t="s">
        <v>40</v>
      </c>
    </row>
    <row r="4" spans="1:39" ht="25.05" customHeight="1">
      <c r="B4" s="15">
        <v>46105</v>
      </c>
      <c r="C4" s="6" t="s">
        <v>42</v>
      </c>
      <c r="D4" s="7"/>
      <c r="E4" s="8" t="s">
        <v>43</v>
      </c>
      <c r="F4" s="9" t="s">
        <v>44</v>
      </c>
      <c r="G4" s="10">
        <v>0.79166666666666663</v>
      </c>
      <c r="H4" s="10">
        <v>0.79861111111111116</v>
      </c>
      <c r="I4" s="11">
        <f t="shared" ref="I4:I12" si="0">H4-G4</f>
        <v>6.9444444444445308E-3</v>
      </c>
      <c r="J4" s="12">
        <v>8</v>
      </c>
      <c r="K4" s="81" t="s">
        <v>44</v>
      </c>
      <c r="L4" s="82" t="s">
        <v>44</v>
      </c>
      <c r="M4" s="12"/>
      <c r="N4" s="12"/>
      <c r="O4" s="12"/>
      <c r="P4" s="12"/>
      <c r="Q4" s="12"/>
      <c r="R4" s="14"/>
      <c r="S4" s="14"/>
      <c r="T4" s="12"/>
      <c r="U4" s="12"/>
      <c r="V4" s="14"/>
      <c r="W4" s="14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</row>
    <row r="5" spans="1:39" ht="25.05" customHeight="1">
      <c r="B5" s="15"/>
      <c r="C5" s="16"/>
      <c r="D5" s="105" t="s">
        <v>393</v>
      </c>
      <c r="E5" s="17" t="s">
        <v>394</v>
      </c>
      <c r="F5" s="84" t="s">
        <v>44</v>
      </c>
      <c r="G5" s="10">
        <v>0.80555555555555558</v>
      </c>
      <c r="H5" s="10">
        <v>0.97222222222222221</v>
      </c>
      <c r="I5" s="11">
        <f t="shared" si="0"/>
        <v>0.16666666666666663</v>
      </c>
      <c r="J5" s="12">
        <v>8</v>
      </c>
      <c r="K5" s="12">
        <v>185</v>
      </c>
      <c r="L5" s="13">
        <f t="shared" ref="L5:L12" si="1">IFERROR(((K5/(J5*I5)/24)),"0")</f>
        <v>5.7812500000000009</v>
      </c>
      <c r="M5" s="12"/>
      <c r="N5" s="12"/>
      <c r="O5" s="12"/>
      <c r="P5" s="12"/>
      <c r="Q5" s="12"/>
      <c r="R5" s="14"/>
      <c r="S5" s="14"/>
      <c r="T5" s="12"/>
      <c r="U5" s="12"/>
      <c r="V5" s="14"/>
      <c r="W5" s="14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</row>
    <row r="6" spans="1:39" ht="25.05" customHeight="1">
      <c r="B6" s="15"/>
      <c r="C6" s="16"/>
      <c r="D6" s="7"/>
      <c r="E6" s="17" t="s">
        <v>395</v>
      </c>
      <c r="F6" s="83" t="s">
        <v>396</v>
      </c>
      <c r="G6" s="10">
        <v>0.9</v>
      </c>
      <c r="H6" s="10">
        <v>46106.013888888891</v>
      </c>
      <c r="I6" s="11">
        <f t="shared" si="0"/>
        <v>46105.113888888889</v>
      </c>
      <c r="J6" s="12">
        <v>8</v>
      </c>
      <c r="K6" s="12">
        <v>195</v>
      </c>
      <c r="L6" s="13">
        <f t="shared" si="1"/>
        <v>2.202846743742153E-5</v>
      </c>
      <c r="M6" s="12"/>
      <c r="N6" s="12"/>
      <c r="O6" s="12"/>
      <c r="P6" s="12"/>
      <c r="Q6" s="12"/>
      <c r="R6" s="14"/>
      <c r="S6" s="14"/>
      <c r="T6" s="12"/>
      <c r="U6" s="12"/>
      <c r="V6" s="14"/>
      <c r="W6" s="14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</row>
    <row r="7" spans="1:39" ht="25.05" customHeight="1">
      <c r="B7" s="15"/>
      <c r="C7" s="16"/>
      <c r="D7" s="106" t="s">
        <v>115</v>
      </c>
      <c r="E7" s="17" t="s">
        <v>397</v>
      </c>
      <c r="F7" s="84" t="s">
        <v>44</v>
      </c>
      <c r="G7" s="10">
        <v>0.90277777777777779</v>
      </c>
      <c r="H7" s="10">
        <v>0.90625</v>
      </c>
      <c r="I7" s="11">
        <f t="shared" si="0"/>
        <v>3.4722222222222099E-3</v>
      </c>
      <c r="J7" s="12">
        <v>1</v>
      </c>
      <c r="K7" s="12">
        <v>0.1</v>
      </c>
      <c r="L7" s="13">
        <f t="shared" si="1"/>
        <v>1.2000000000000044</v>
      </c>
      <c r="M7" s="12"/>
      <c r="N7" s="12"/>
      <c r="O7" s="12"/>
      <c r="P7" s="12"/>
      <c r="Q7" s="12"/>
      <c r="R7" s="14"/>
      <c r="S7" s="14"/>
      <c r="T7" s="12"/>
      <c r="U7" s="12"/>
      <c r="V7" s="14"/>
      <c r="W7" s="14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</row>
    <row r="8" spans="1:39" ht="25.05" customHeight="1">
      <c r="B8" s="15"/>
      <c r="C8" s="16"/>
      <c r="D8" s="23" t="s">
        <v>398</v>
      </c>
      <c r="E8" s="17" t="s">
        <v>399</v>
      </c>
      <c r="F8" s="84" t="s">
        <v>44</v>
      </c>
      <c r="G8" s="10">
        <v>0.93402777777777779</v>
      </c>
      <c r="H8" s="10">
        <v>0.94791666666666663</v>
      </c>
      <c r="I8" s="11">
        <f t="shared" si="0"/>
        <v>1.388888888888884E-2</v>
      </c>
      <c r="J8" s="12">
        <v>1</v>
      </c>
      <c r="K8" s="12">
        <v>11</v>
      </c>
      <c r="L8" s="13">
        <f t="shared" si="1"/>
        <v>33.000000000000121</v>
      </c>
      <c r="M8" s="12"/>
      <c r="N8" s="12"/>
      <c r="O8" s="12"/>
      <c r="P8" s="12"/>
      <c r="Q8" s="12"/>
      <c r="R8" s="14"/>
      <c r="S8" s="14"/>
      <c r="T8" s="12"/>
      <c r="U8" s="12"/>
      <c r="V8" s="14"/>
      <c r="W8" s="14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</row>
    <row r="9" spans="1:39" ht="25.05" customHeight="1">
      <c r="B9" s="15"/>
      <c r="C9" s="16"/>
      <c r="D9" s="7"/>
      <c r="E9" s="20" t="s">
        <v>400</v>
      </c>
      <c r="F9" s="107">
        <v>0.5</v>
      </c>
      <c r="G9" s="10">
        <v>0.96527777777777779</v>
      </c>
      <c r="H9" s="10">
        <v>0.97222222222222221</v>
      </c>
      <c r="I9" s="11">
        <f t="shared" si="0"/>
        <v>6.9444444444444198E-3</v>
      </c>
      <c r="J9" s="12">
        <v>1</v>
      </c>
      <c r="K9" s="12">
        <v>42.64</v>
      </c>
      <c r="L9" s="13">
        <f t="shared" si="1"/>
        <v>255.84000000000091</v>
      </c>
      <c r="M9" s="12"/>
      <c r="N9" s="12"/>
      <c r="O9" s="12"/>
      <c r="P9" s="12"/>
      <c r="Q9" s="12"/>
      <c r="R9" s="14"/>
      <c r="S9" s="14"/>
      <c r="T9" s="12"/>
      <c r="U9" s="12"/>
      <c r="V9" s="14"/>
      <c r="W9" s="14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</row>
    <row r="10" spans="1:39" ht="25.05" customHeight="1">
      <c r="B10" s="15"/>
      <c r="C10" s="16"/>
      <c r="D10" s="7"/>
      <c r="E10" s="20" t="s">
        <v>401</v>
      </c>
      <c r="F10" s="84" t="s">
        <v>44</v>
      </c>
      <c r="G10" s="10">
        <v>9.7222222222222224E-2</v>
      </c>
      <c r="H10" s="10">
        <v>0.10416666666666667</v>
      </c>
      <c r="I10" s="11">
        <f t="shared" si="0"/>
        <v>6.9444444444444475E-3</v>
      </c>
      <c r="J10" s="12">
        <v>1</v>
      </c>
      <c r="K10" s="12">
        <v>4.24</v>
      </c>
      <c r="L10" s="13">
        <f t="shared" si="1"/>
        <v>25.439999999999987</v>
      </c>
      <c r="M10" s="12"/>
      <c r="N10" s="12"/>
      <c r="O10" s="12"/>
      <c r="P10" s="12"/>
      <c r="Q10" s="12"/>
      <c r="R10" s="14"/>
      <c r="S10" s="14"/>
      <c r="T10" s="12"/>
      <c r="U10" s="12"/>
      <c r="V10" s="14"/>
      <c r="W10" s="14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</row>
    <row r="11" spans="1:39" ht="25.05" customHeight="1">
      <c r="B11" s="15"/>
      <c r="C11" s="16"/>
      <c r="D11" s="7"/>
      <c r="E11" s="20"/>
      <c r="F11" s="83"/>
      <c r="G11" s="10"/>
      <c r="H11" s="10"/>
      <c r="I11" s="11">
        <f t="shared" si="0"/>
        <v>0</v>
      </c>
      <c r="J11" s="12"/>
      <c r="K11" s="12"/>
      <c r="L11" s="13" t="str">
        <f t="shared" si="1"/>
        <v>0</v>
      </c>
      <c r="M11" s="12"/>
      <c r="N11" s="12"/>
      <c r="O11" s="12"/>
      <c r="P11" s="12"/>
      <c r="Q11" s="12"/>
      <c r="R11" s="14"/>
      <c r="S11" s="14"/>
      <c r="T11" s="12"/>
      <c r="U11" s="12"/>
      <c r="V11" s="14"/>
      <c r="W11" s="14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</row>
    <row r="12" spans="1:39" ht="25.05" customHeight="1">
      <c r="B12" s="15"/>
      <c r="C12" s="16"/>
      <c r="D12" s="7"/>
      <c r="E12" s="20"/>
      <c r="F12" s="83"/>
      <c r="G12" s="10"/>
      <c r="H12" s="10"/>
      <c r="I12" s="11">
        <f t="shared" si="0"/>
        <v>0</v>
      </c>
      <c r="J12" s="12"/>
      <c r="K12" s="12"/>
      <c r="L12" s="13" t="str">
        <f t="shared" si="1"/>
        <v>0</v>
      </c>
      <c r="M12" s="12"/>
      <c r="N12" s="12"/>
      <c r="O12" s="12"/>
      <c r="P12" s="12"/>
      <c r="Q12" s="12"/>
      <c r="R12" s="14"/>
      <c r="S12" s="14"/>
      <c r="T12" s="12"/>
      <c r="U12" s="12"/>
      <c r="V12" s="14"/>
      <c r="W12" s="14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</row>
    <row r="13" spans="1:39" s="34" customFormat="1" ht="25.05" customHeight="1">
      <c r="A13" s="1"/>
      <c r="B13" s="27"/>
      <c r="C13" s="28"/>
      <c r="D13" s="29"/>
      <c r="E13" s="30"/>
      <c r="F13" s="30"/>
      <c r="G13" s="31"/>
      <c r="H13" s="31"/>
      <c r="I13" s="32"/>
      <c r="J13" s="18"/>
      <c r="K13" s="18">
        <f t="shared" ref="K13:AM13" si="2">SUM(K4:K10)</f>
        <v>437.98</v>
      </c>
      <c r="L13" s="33">
        <f t="shared" si="2"/>
        <v>321.26127202846845</v>
      </c>
      <c r="M13" s="18">
        <f t="shared" si="2"/>
        <v>0</v>
      </c>
      <c r="N13" s="18">
        <f t="shared" si="2"/>
        <v>0</v>
      </c>
      <c r="O13" s="18">
        <f t="shared" si="2"/>
        <v>0</v>
      </c>
      <c r="P13" s="18">
        <f t="shared" si="2"/>
        <v>0</v>
      </c>
      <c r="Q13" s="18">
        <f t="shared" si="2"/>
        <v>0</v>
      </c>
      <c r="R13" s="18">
        <f t="shared" si="2"/>
        <v>0</v>
      </c>
      <c r="S13" s="18">
        <f t="shared" si="2"/>
        <v>0</v>
      </c>
      <c r="T13" s="18">
        <f t="shared" si="2"/>
        <v>0</v>
      </c>
      <c r="U13" s="18">
        <f t="shared" si="2"/>
        <v>0</v>
      </c>
      <c r="V13" s="18">
        <f t="shared" si="2"/>
        <v>0</v>
      </c>
      <c r="W13" s="18">
        <f t="shared" si="2"/>
        <v>0</v>
      </c>
      <c r="X13" s="18">
        <f t="shared" si="2"/>
        <v>0</v>
      </c>
      <c r="Y13" s="18">
        <f t="shared" si="2"/>
        <v>0</v>
      </c>
      <c r="Z13" s="18">
        <f t="shared" si="2"/>
        <v>0</v>
      </c>
      <c r="AA13" s="18">
        <f t="shared" si="2"/>
        <v>0</v>
      </c>
      <c r="AB13" s="18">
        <f t="shared" si="2"/>
        <v>0</v>
      </c>
      <c r="AC13" s="18">
        <f t="shared" si="2"/>
        <v>0</v>
      </c>
      <c r="AD13" s="18">
        <f t="shared" si="2"/>
        <v>0</v>
      </c>
      <c r="AE13" s="18">
        <f t="shared" si="2"/>
        <v>0</v>
      </c>
      <c r="AF13" s="18">
        <f t="shared" si="2"/>
        <v>0</v>
      </c>
      <c r="AG13" s="18">
        <f t="shared" si="2"/>
        <v>0</v>
      </c>
      <c r="AH13" s="18">
        <f t="shared" si="2"/>
        <v>0</v>
      </c>
      <c r="AI13" s="18">
        <f t="shared" si="2"/>
        <v>0</v>
      </c>
      <c r="AJ13" s="18">
        <f t="shared" si="2"/>
        <v>0</v>
      </c>
      <c r="AK13" s="18">
        <f t="shared" si="2"/>
        <v>0</v>
      </c>
      <c r="AL13" s="18">
        <f t="shared" si="2"/>
        <v>0</v>
      </c>
      <c r="AM13" s="18">
        <f t="shared" si="2"/>
        <v>0</v>
      </c>
    </row>
    <row r="14" spans="1:39" ht="25.05" customHeight="1">
      <c r="B14" s="15"/>
      <c r="C14" s="16" t="s">
        <v>71</v>
      </c>
      <c r="D14" s="7"/>
      <c r="E14" s="8" t="s">
        <v>43</v>
      </c>
      <c r="F14" s="9" t="s">
        <v>44</v>
      </c>
      <c r="G14" s="10"/>
      <c r="H14" s="10"/>
      <c r="I14" s="11">
        <f>H14-G14</f>
        <v>0</v>
      </c>
      <c r="J14" s="12"/>
      <c r="K14" s="12"/>
      <c r="L14" s="13" t="str">
        <f>IFERROR(((K14/(J14*I14)/24)),"0")</f>
        <v>0</v>
      </c>
      <c r="M14" s="12"/>
      <c r="N14" s="12"/>
      <c r="O14" s="12"/>
      <c r="P14" s="12"/>
      <c r="Q14" s="12"/>
      <c r="R14" s="14"/>
      <c r="S14" s="14"/>
      <c r="T14" s="12"/>
      <c r="U14" s="12"/>
      <c r="V14" s="14"/>
      <c r="W14" s="14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</row>
    <row r="15" spans="1:39" ht="25.05" customHeight="1">
      <c r="B15" s="15"/>
      <c r="C15" s="16"/>
      <c r="D15" s="90"/>
      <c r="E15" s="7"/>
      <c r="F15" s="16"/>
      <c r="G15" s="10"/>
      <c r="H15" s="10"/>
      <c r="I15" s="11"/>
      <c r="J15" s="12"/>
      <c r="K15" s="12"/>
      <c r="L15" s="13"/>
      <c r="M15" s="12"/>
      <c r="N15" s="12"/>
      <c r="O15" s="12"/>
      <c r="P15" s="12"/>
      <c r="Q15" s="12"/>
      <c r="R15" s="14"/>
      <c r="S15" s="14"/>
      <c r="T15" s="12"/>
      <c r="U15" s="12"/>
      <c r="V15" s="14"/>
      <c r="W15" s="14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</row>
    <row r="16" spans="1:39" s="34" customFormat="1" ht="25.05" customHeight="1">
      <c r="A16" s="1"/>
      <c r="B16" s="27"/>
      <c r="C16" s="28"/>
      <c r="D16" s="29"/>
      <c r="E16" s="30"/>
      <c r="F16" s="28"/>
      <c r="G16" s="31"/>
      <c r="H16" s="31"/>
      <c r="I16" s="32"/>
      <c r="J16" s="18"/>
      <c r="K16" s="18">
        <f t="shared" ref="K16:AM16" si="3">SUM(K14:K15)</f>
        <v>0</v>
      </c>
      <c r="L16" s="18">
        <f t="shared" si="3"/>
        <v>0</v>
      </c>
      <c r="M16" s="18">
        <f t="shared" si="3"/>
        <v>0</v>
      </c>
      <c r="N16" s="18">
        <f t="shared" si="3"/>
        <v>0</v>
      </c>
      <c r="O16" s="18">
        <f t="shared" si="3"/>
        <v>0</v>
      </c>
      <c r="P16" s="18">
        <f t="shared" si="3"/>
        <v>0</v>
      </c>
      <c r="Q16" s="18">
        <f t="shared" si="3"/>
        <v>0</v>
      </c>
      <c r="R16" s="18">
        <f t="shared" si="3"/>
        <v>0</v>
      </c>
      <c r="S16" s="18">
        <f t="shared" si="3"/>
        <v>0</v>
      </c>
      <c r="T16" s="18">
        <f t="shared" si="3"/>
        <v>0</v>
      </c>
      <c r="U16" s="18">
        <f t="shared" si="3"/>
        <v>0</v>
      </c>
      <c r="V16" s="18">
        <f t="shared" si="3"/>
        <v>0</v>
      </c>
      <c r="W16" s="18">
        <f t="shared" si="3"/>
        <v>0</v>
      </c>
      <c r="X16" s="18">
        <f t="shared" si="3"/>
        <v>0</v>
      </c>
      <c r="Y16" s="18">
        <f t="shared" si="3"/>
        <v>0</v>
      </c>
      <c r="Z16" s="18">
        <f t="shared" si="3"/>
        <v>0</v>
      </c>
      <c r="AA16" s="18">
        <f t="shared" si="3"/>
        <v>0</v>
      </c>
      <c r="AB16" s="18">
        <f t="shared" si="3"/>
        <v>0</v>
      </c>
      <c r="AC16" s="18">
        <f t="shared" si="3"/>
        <v>0</v>
      </c>
      <c r="AD16" s="18">
        <f t="shared" si="3"/>
        <v>0</v>
      </c>
      <c r="AE16" s="18">
        <f t="shared" si="3"/>
        <v>0</v>
      </c>
      <c r="AF16" s="18">
        <f t="shared" si="3"/>
        <v>0</v>
      </c>
      <c r="AG16" s="18">
        <f t="shared" si="3"/>
        <v>0</v>
      </c>
      <c r="AH16" s="18">
        <f t="shared" si="3"/>
        <v>0</v>
      </c>
      <c r="AI16" s="18">
        <f t="shared" si="3"/>
        <v>0</v>
      </c>
      <c r="AJ16" s="18">
        <f t="shared" si="3"/>
        <v>0</v>
      </c>
      <c r="AK16" s="18">
        <f t="shared" si="3"/>
        <v>0</v>
      </c>
      <c r="AL16" s="18">
        <f t="shared" si="3"/>
        <v>0</v>
      </c>
      <c r="AM16" s="18">
        <f t="shared" si="3"/>
        <v>0</v>
      </c>
    </row>
    <row r="17" spans="2:39" ht="25.05" customHeight="1">
      <c r="B17" s="15"/>
      <c r="C17" s="35" t="s">
        <v>76</v>
      </c>
      <c r="D17" s="80" t="s">
        <v>174</v>
      </c>
      <c r="E17" s="8" t="s">
        <v>43</v>
      </c>
      <c r="F17" s="9" t="s">
        <v>44</v>
      </c>
      <c r="G17" s="10">
        <v>0.79166666666666663</v>
      </c>
      <c r="H17" s="10">
        <v>0.83333333333333337</v>
      </c>
      <c r="I17" s="11">
        <f t="shared" ref="I17:I80" si="4">H17-G17</f>
        <v>4.1666666666666741E-2</v>
      </c>
      <c r="J17" s="12">
        <v>5</v>
      </c>
      <c r="K17" s="81" t="s">
        <v>44</v>
      </c>
      <c r="L17" s="82" t="s">
        <v>44</v>
      </c>
      <c r="M17" s="12"/>
      <c r="N17" s="12"/>
      <c r="O17" s="12"/>
      <c r="P17" s="12"/>
      <c r="Q17" s="12"/>
      <c r="R17" s="14"/>
      <c r="S17" s="14"/>
      <c r="T17" s="12"/>
      <c r="U17" s="12"/>
      <c r="V17" s="14"/>
      <c r="W17" s="14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6"/>
    </row>
    <row r="18" spans="2:39" ht="25.05" customHeight="1">
      <c r="B18" s="15"/>
      <c r="C18" s="108"/>
      <c r="D18" s="105" t="s">
        <v>393</v>
      </c>
      <c r="E18" s="19" t="s">
        <v>402</v>
      </c>
      <c r="F18" s="9" t="s">
        <v>44</v>
      </c>
      <c r="G18" s="10">
        <v>0.10069444444444445</v>
      </c>
      <c r="H18" s="10">
        <v>0.12291666666666666</v>
      </c>
      <c r="I18" s="11">
        <f t="shared" si="4"/>
        <v>2.2222222222222213E-2</v>
      </c>
      <c r="J18" s="12">
        <v>4</v>
      </c>
      <c r="K18" s="12">
        <v>139.28</v>
      </c>
      <c r="L18" s="13">
        <f t="shared" ref="L18:L81" si="5">IFERROR(((K18/(J18*I18)/24)),"0")</f>
        <v>65.287500000000037</v>
      </c>
      <c r="M18" s="12"/>
      <c r="N18" s="12"/>
      <c r="O18" s="12"/>
      <c r="P18" s="12"/>
      <c r="Q18" s="12"/>
      <c r="R18" s="14"/>
      <c r="S18" s="14"/>
      <c r="T18" s="12"/>
      <c r="U18" s="12"/>
      <c r="V18" s="14">
        <v>2</v>
      </c>
      <c r="W18" s="14"/>
      <c r="X18" s="12"/>
      <c r="Y18" s="12"/>
      <c r="Z18" s="12"/>
      <c r="AA18" s="12"/>
      <c r="AB18" s="12"/>
      <c r="AC18" s="12"/>
      <c r="AD18" s="12">
        <v>32</v>
      </c>
      <c r="AE18" s="12"/>
      <c r="AF18" s="12"/>
      <c r="AG18" s="12"/>
      <c r="AH18" s="12"/>
      <c r="AI18" s="12"/>
      <c r="AJ18" s="12"/>
      <c r="AK18" s="12"/>
      <c r="AL18" s="12"/>
      <c r="AM18" s="16"/>
    </row>
    <row r="19" spans="2:39" ht="25.05" customHeight="1">
      <c r="B19" s="15"/>
      <c r="C19" s="35"/>
      <c r="D19" s="23"/>
      <c r="E19" s="19" t="s">
        <v>403</v>
      </c>
      <c r="F19" s="9" t="s">
        <v>44</v>
      </c>
      <c r="G19" s="10">
        <v>0.10069444444444445</v>
      </c>
      <c r="H19" s="10">
        <v>0.12986111111111112</v>
      </c>
      <c r="I19" s="11">
        <f t="shared" si="4"/>
        <v>2.9166666666666674E-2</v>
      </c>
      <c r="J19" s="12">
        <v>4</v>
      </c>
      <c r="K19" s="12">
        <v>140</v>
      </c>
      <c r="L19" s="13">
        <f t="shared" si="5"/>
        <v>49.999999999999993</v>
      </c>
      <c r="M19" s="12"/>
      <c r="N19" s="12"/>
      <c r="O19" s="12"/>
      <c r="P19" s="12"/>
      <c r="Q19" s="12"/>
      <c r="R19" s="14"/>
      <c r="S19" s="14"/>
      <c r="T19" s="12"/>
      <c r="U19" s="12"/>
      <c r="V19" s="14">
        <v>2</v>
      </c>
      <c r="W19" s="14"/>
      <c r="X19" s="12"/>
      <c r="Y19" s="12"/>
      <c r="Z19" s="12"/>
      <c r="AA19" s="12"/>
      <c r="AB19" s="12"/>
      <c r="AC19" s="12"/>
      <c r="AD19" s="12"/>
      <c r="AE19" s="12">
        <v>42</v>
      </c>
      <c r="AF19" s="12"/>
      <c r="AG19" s="12"/>
      <c r="AH19" s="12"/>
      <c r="AI19" s="12"/>
      <c r="AJ19" s="12"/>
      <c r="AK19" s="12"/>
      <c r="AL19" s="12"/>
      <c r="AM19" s="16"/>
    </row>
    <row r="20" spans="2:39" ht="25.05" customHeight="1">
      <c r="B20" s="15"/>
      <c r="C20" s="35"/>
      <c r="D20" s="23"/>
      <c r="E20" s="19" t="s">
        <v>404</v>
      </c>
      <c r="F20" s="9" t="s">
        <v>44</v>
      </c>
      <c r="G20" s="10">
        <v>0.10555555555555556</v>
      </c>
      <c r="H20" s="10">
        <v>0.13541666666666666</v>
      </c>
      <c r="I20" s="11">
        <f t="shared" si="4"/>
        <v>2.9861111111111102E-2</v>
      </c>
      <c r="J20" s="12">
        <v>4</v>
      </c>
      <c r="K20" s="12">
        <v>140</v>
      </c>
      <c r="L20" s="13">
        <f t="shared" si="5"/>
        <v>48.837209302325597</v>
      </c>
      <c r="M20" s="12"/>
      <c r="N20" s="12"/>
      <c r="O20" s="12"/>
      <c r="P20" s="12"/>
      <c r="Q20" s="12"/>
      <c r="R20" s="14"/>
      <c r="S20" s="14"/>
      <c r="T20" s="12"/>
      <c r="U20" s="12"/>
      <c r="V20" s="14">
        <v>2</v>
      </c>
      <c r="W20" s="14"/>
      <c r="X20" s="12"/>
      <c r="Y20" s="12"/>
      <c r="Z20" s="12"/>
      <c r="AA20" s="12"/>
      <c r="AB20" s="12">
        <v>43</v>
      </c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6"/>
    </row>
    <row r="21" spans="2:39" ht="25.05" customHeight="1">
      <c r="B21" s="15"/>
      <c r="C21" s="35"/>
      <c r="D21" s="23"/>
      <c r="E21" s="19" t="s">
        <v>405</v>
      </c>
      <c r="F21" s="9" t="s">
        <v>44</v>
      </c>
      <c r="G21" s="10">
        <v>0.13333333333333333</v>
      </c>
      <c r="H21" s="10">
        <v>0.15486111111111112</v>
      </c>
      <c r="I21" s="11">
        <f t="shared" si="4"/>
        <v>2.1527777777777785E-2</v>
      </c>
      <c r="J21" s="12">
        <v>4</v>
      </c>
      <c r="K21" s="12">
        <v>142.13999999999999</v>
      </c>
      <c r="L21" s="13">
        <f t="shared" si="5"/>
        <v>68.777419354838685</v>
      </c>
      <c r="M21" s="12"/>
      <c r="N21" s="12"/>
      <c r="O21" s="12"/>
      <c r="P21" s="12"/>
      <c r="Q21" s="12"/>
      <c r="R21" s="14"/>
      <c r="S21" s="14"/>
      <c r="T21" s="12"/>
      <c r="U21" s="12"/>
      <c r="V21" s="14">
        <v>2</v>
      </c>
      <c r="W21" s="14"/>
      <c r="X21" s="12"/>
      <c r="Y21" s="12"/>
      <c r="Z21" s="12"/>
      <c r="AA21" s="12"/>
      <c r="AB21" s="12"/>
      <c r="AC21" s="12"/>
      <c r="AD21" s="12"/>
      <c r="AE21" s="12">
        <v>31</v>
      </c>
      <c r="AF21" s="12"/>
      <c r="AG21" s="12"/>
      <c r="AH21" s="12"/>
      <c r="AI21" s="12"/>
      <c r="AJ21" s="12"/>
      <c r="AK21" s="12"/>
      <c r="AL21" s="12"/>
      <c r="AM21" s="16"/>
    </row>
    <row r="22" spans="2:39" ht="25.05" customHeight="1">
      <c r="B22" s="15"/>
      <c r="C22" s="35"/>
      <c r="D22" s="23"/>
      <c r="E22" s="19" t="s">
        <v>406</v>
      </c>
      <c r="F22" s="9" t="s">
        <v>44</v>
      </c>
      <c r="G22" s="10">
        <v>0.1388888888888889</v>
      </c>
      <c r="H22" s="10">
        <v>0.16527777777777777</v>
      </c>
      <c r="I22" s="11">
        <f t="shared" si="4"/>
        <v>2.6388888888888878E-2</v>
      </c>
      <c r="J22" s="12">
        <v>4</v>
      </c>
      <c r="K22" s="12">
        <v>140</v>
      </c>
      <c r="L22" s="13">
        <f t="shared" si="5"/>
        <v>55.263157894736871</v>
      </c>
      <c r="M22" s="12"/>
      <c r="N22" s="12"/>
      <c r="O22" s="12"/>
      <c r="P22" s="12"/>
      <c r="Q22" s="12"/>
      <c r="R22" s="14"/>
      <c r="S22" s="14"/>
      <c r="T22" s="12"/>
      <c r="U22" s="12"/>
      <c r="V22" s="14">
        <v>2</v>
      </c>
      <c r="W22" s="14"/>
      <c r="X22" s="12"/>
      <c r="Y22" s="12"/>
      <c r="Z22" s="12"/>
      <c r="AA22" s="12"/>
      <c r="AB22" s="12"/>
      <c r="AC22" s="12"/>
      <c r="AD22" s="12">
        <v>38</v>
      </c>
      <c r="AE22" s="12"/>
      <c r="AF22" s="12"/>
      <c r="AG22" s="12"/>
      <c r="AH22" s="12"/>
      <c r="AI22" s="12"/>
      <c r="AJ22" s="12"/>
      <c r="AK22" s="12"/>
      <c r="AL22" s="12"/>
      <c r="AM22" s="16"/>
    </row>
    <row r="23" spans="2:39" ht="25.05" customHeight="1">
      <c r="B23" s="15"/>
      <c r="C23" s="35"/>
      <c r="D23" s="23"/>
      <c r="E23" s="19" t="s">
        <v>407</v>
      </c>
      <c r="F23" s="9" t="s">
        <v>44</v>
      </c>
      <c r="G23" s="10">
        <v>0.15069444444444444</v>
      </c>
      <c r="H23" s="10">
        <v>0.1763888888888889</v>
      </c>
      <c r="I23" s="11">
        <f t="shared" si="4"/>
        <v>2.5694444444444464E-2</v>
      </c>
      <c r="J23" s="12">
        <v>4</v>
      </c>
      <c r="K23" s="12">
        <v>141.16999999999999</v>
      </c>
      <c r="L23" s="13">
        <f t="shared" si="5"/>
        <v>57.231081081081037</v>
      </c>
      <c r="M23" s="12"/>
      <c r="N23" s="12"/>
      <c r="O23" s="12"/>
      <c r="P23" s="12"/>
      <c r="Q23" s="12"/>
      <c r="R23" s="14"/>
      <c r="S23" s="14"/>
      <c r="T23" s="12"/>
      <c r="U23" s="12"/>
      <c r="V23" s="14">
        <v>2</v>
      </c>
      <c r="W23" s="14"/>
      <c r="X23" s="12"/>
      <c r="Y23" s="12"/>
      <c r="Z23" s="12"/>
      <c r="AA23" s="12"/>
      <c r="AB23" s="12">
        <v>37</v>
      </c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6"/>
    </row>
    <row r="24" spans="2:39" ht="25.05" customHeight="1">
      <c r="B24" s="15"/>
      <c r="C24" s="35"/>
      <c r="D24" s="23"/>
      <c r="E24" s="19" t="s">
        <v>408</v>
      </c>
      <c r="F24" s="9" t="s">
        <v>44</v>
      </c>
      <c r="G24" s="10">
        <v>0.16250000000000001</v>
      </c>
      <c r="H24" s="10">
        <v>0.18888888888888888</v>
      </c>
      <c r="I24" s="11">
        <f t="shared" si="4"/>
        <v>2.6388888888888878E-2</v>
      </c>
      <c r="J24" s="12">
        <v>4</v>
      </c>
      <c r="K24" s="12">
        <v>140</v>
      </c>
      <c r="L24" s="13">
        <f t="shared" si="5"/>
        <v>55.263157894736871</v>
      </c>
      <c r="M24" s="12"/>
      <c r="N24" s="12"/>
      <c r="O24" s="12"/>
      <c r="P24" s="12"/>
      <c r="Q24" s="12"/>
      <c r="R24" s="14"/>
      <c r="S24" s="14"/>
      <c r="T24" s="12"/>
      <c r="U24" s="12"/>
      <c r="V24" s="14">
        <v>2</v>
      </c>
      <c r="W24" s="14"/>
      <c r="X24" s="12"/>
      <c r="Y24" s="12"/>
      <c r="Z24" s="12"/>
      <c r="AA24" s="12"/>
      <c r="AB24" s="12"/>
      <c r="AC24" s="12"/>
      <c r="AD24" s="12"/>
      <c r="AE24" s="12">
        <v>38</v>
      </c>
      <c r="AF24" s="12"/>
      <c r="AG24" s="12"/>
      <c r="AH24" s="12"/>
      <c r="AI24" s="12"/>
      <c r="AJ24" s="12"/>
      <c r="AK24" s="12"/>
      <c r="AL24" s="12"/>
      <c r="AM24" s="16"/>
    </row>
    <row r="25" spans="2:39" ht="25.05" customHeight="1">
      <c r="B25" s="15"/>
      <c r="C25" s="35"/>
      <c r="D25" s="23"/>
      <c r="E25" s="19" t="s">
        <v>409</v>
      </c>
      <c r="F25" s="9" t="s">
        <v>44</v>
      </c>
      <c r="G25" s="10">
        <v>0.16666666666666666</v>
      </c>
      <c r="H25" s="10">
        <v>0.19375000000000001</v>
      </c>
      <c r="I25" s="11">
        <f t="shared" si="4"/>
        <v>2.7083333333333348E-2</v>
      </c>
      <c r="J25" s="12">
        <v>4</v>
      </c>
      <c r="K25" s="12">
        <v>142.75</v>
      </c>
      <c r="L25" s="13">
        <f t="shared" si="5"/>
        <v>54.903846153846125</v>
      </c>
      <c r="M25" s="12"/>
      <c r="N25" s="12"/>
      <c r="O25" s="12"/>
      <c r="P25" s="12"/>
      <c r="Q25" s="12"/>
      <c r="R25" s="14"/>
      <c r="S25" s="14"/>
      <c r="T25" s="12"/>
      <c r="U25" s="12"/>
      <c r="V25" s="14">
        <v>2</v>
      </c>
      <c r="W25" s="14"/>
      <c r="X25" s="12"/>
      <c r="Y25" s="12"/>
      <c r="Z25" s="12"/>
      <c r="AA25" s="12"/>
      <c r="AB25" s="12"/>
      <c r="AC25" s="12">
        <v>39</v>
      </c>
      <c r="AD25" s="12"/>
      <c r="AE25" s="12"/>
      <c r="AF25" s="12"/>
      <c r="AG25" s="12"/>
      <c r="AH25" s="12"/>
      <c r="AI25" s="12"/>
      <c r="AJ25" s="12"/>
      <c r="AK25" s="12"/>
      <c r="AL25" s="12"/>
      <c r="AM25" s="16"/>
    </row>
    <row r="26" spans="2:39" ht="25.05" customHeight="1">
      <c r="B26" s="15"/>
      <c r="C26" s="35"/>
      <c r="D26" s="23"/>
      <c r="E26" s="19" t="s">
        <v>410</v>
      </c>
      <c r="F26" s="9" t="s">
        <v>44</v>
      </c>
      <c r="G26" s="10">
        <v>0.17708333333333334</v>
      </c>
      <c r="H26" s="10">
        <v>0.19930555555555557</v>
      </c>
      <c r="I26" s="11">
        <f t="shared" si="4"/>
        <v>2.2222222222222227E-2</v>
      </c>
      <c r="J26" s="12">
        <v>4</v>
      </c>
      <c r="K26" s="12">
        <v>140</v>
      </c>
      <c r="L26" s="13">
        <f t="shared" si="5"/>
        <v>65.624999999999986</v>
      </c>
      <c r="M26" s="12"/>
      <c r="N26" s="12"/>
      <c r="O26" s="12"/>
      <c r="P26" s="12"/>
      <c r="Q26" s="12"/>
      <c r="R26" s="14"/>
      <c r="S26" s="14"/>
      <c r="T26" s="12"/>
      <c r="U26" s="12"/>
      <c r="V26" s="14">
        <v>2</v>
      </c>
      <c r="W26" s="14"/>
      <c r="X26" s="12"/>
      <c r="Y26" s="12"/>
      <c r="Z26" s="12"/>
      <c r="AA26" s="12"/>
      <c r="AB26" s="12"/>
      <c r="AC26" s="12"/>
      <c r="AD26" s="12">
        <v>32</v>
      </c>
      <c r="AE26" s="12"/>
      <c r="AF26" s="12"/>
      <c r="AG26" s="12"/>
      <c r="AH26" s="12"/>
      <c r="AI26" s="12"/>
      <c r="AJ26" s="12"/>
      <c r="AK26" s="12"/>
      <c r="AL26" s="12"/>
      <c r="AM26" s="16"/>
    </row>
    <row r="27" spans="2:39" ht="25.05" customHeight="1">
      <c r="B27" s="15"/>
      <c r="C27" s="35"/>
      <c r="D27" s="23"/>
      <c r="E27" s="19" t="s">
        <v>411</v>
      </c>
      <c r="F27" s="9" t="s">
        <v>44</v>
      </c>
      <c r="G27" s="10">
        <v>0.19305555555555556</v>
      </c>
      <c r="H27" s="10">
        <v>0.21666666666666667</v>
      </c>
      <c r="I27" s="11">
        <f t="shared" si="4"/>
        <v>2.361111111111111E-2</v>
      </c>
      <c r="J27" s="12">
        <v>4</v>
      </c>
      <c r="K27" s="12">
        <v>139.04</v>
      </c>
      <c r="L27" s="13">
        <f t="shared" si="5"/>
        <v>61.341176470588238</v>
      </c>
      <c r="M27" s="12"/>
      <c r="N27" s="12"/>
      <c r="O27" s="12"/>
      <c r="P27" s="12"/>
      <c r="Q27" s="12"/>
      <c r="R27" s="14"/>
      <c r="S27" s="14"/>
      <c r="T27" s="12"/>
      <c r="U27" s="12"/>
      <c r="V27" s="14">
        <v>2</v>
      </c>
      <c r="W27" s="14"/>
      <c r="X27" s="12"/>
      <c r="Y27" s="12"/>
      <c r="Z27" s="12"/>
      <c r="AA27" s="12"/>
      <c r="AB27" s="12">
        <v>34</v>
      </c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6"/>
    </row>
    <row r="28" spans="2:39" ht="25.05" customHeight="1">
      <c r="B28" s="15"/>
      <c r="C28" s="35"/>
      <c r="D28" s="23"/>
      <c r="E28" s="19" t="s">
        <v>412</v>
      </c>
      <c r="F28" s="9" t="s">
        <v>44</v>
      </c>
      <c r="G28" s="10">
        <v>0.19305555555555556</v>
      </c>
      <c r="H28" s="10">
        <v>0.21666666666666667</v>
      </c>
      <c r="I28" s="11">
        <f t="shared" si="4"/>
        <v>2.361111111111111E-2</v>
      </c>
      <c r="J28" s="12">
        <v>4</v>
      </c>
      <c r="K28" s="12">
        <v>140.22999999999999</v>
      </c>
      <c r="L28" s="13">
        <f t="shared" si="5"/>
        <v>61.866176470588236</v>
      </c>
      <c r="M28" s="12"/>
      <c r="N28" s="12"/>
      <c r="O28" s="12"/>
      <c r="P28" s="12"/>
      <c r="Q28" s="12"/>
      <c r="R28" s="14"/>
      <c r="S28" s="14"/>
      <c r="T28" s="12"/>
      <c r="U28" s="12"/>
      <c r="V28" s="14">
        <v>2</v>
      </c>
      <c r="W28" s="14"/>
      <c r="X28" s="12"/>
      <c r="Y28" s="12"/>
      <c r="Z28" s="12"/>
      <c r="AA28" s="12"/>
      <c r="AB28" s="12"/>
      <c r="AC28" s="12"/>
      <c r="AD28" s="12"/>
      <c r="AE28" s="12">
        <v>34</v>
      </c>
      <c r="AF28" s="12"/>
      <c r="AG28" s="12"/>
      <c r="AH28" s="12"/>
      <c r="AI28" s="12"/>
      <c r="AJ28" s="12"/>
      <c r="AK28" s="12"/>
      <c r="AL28" s="12"/>
      <c r="AM28" s="16"/>
    </row>
    <row r="29" spans="2:39" ht="25.05" customHeight="1">
      <c r="B29" s="15"/>
      <c r="C29" s="35"/>
      <c r="D29" s="23"/>
      <c r="E29" s="19" t="s">
        <v>413</v>
      </c>
      <c r="F29" s="9" t="s">
        <v>44</v>
      </c>
      <c r="G29" s="10">
        <v>0.2013888888888889</v>
      </c>
      <c r="H29" s="10">
        <v>0.22500000000000001</v>
      </c>
      <c r="I29" s="11">
        <f t="shared" si="4"/>
        <v>2.361111111111111E-2</v>
      </c>
      <c r="J29" s="12">
        <v>4</v>
      </c>
      <c r="K29" s="12">
        <v>138.38999999999999</v>
      </c>
      <c r="L29" s="13">
        <f t="shared" si="5"/>
        <v>61.054411764705883</v>
      </c>
      <c r="M29" s="12"/>
      <c r="N29" s="12"/>
      <c r="O29" s="12"/>
      <c r="P29" s="12"/>
      <c r="Q29" s="12"/>
      <c r="R29" s="14"/>
      <c r="S29" s="14"/>
      <c r="T29" s="12"/>
      <c r="U29" s="12"/>
      <c r="V29" s="14">
        <v>2</v>
      </c>
      <c r="W29" s="14"/>
      <c r="X29" s="12"/>
      <c r="Y29" s="12"/>
      <c r="Z29" s="12"/>
      <c r="AA29" s="12"/>
      <c r="AB29" s="12"/>
      <c r="AC29" s="12"/>
      <c r="AD29" s="12">
        <v>34</v>
      </c>
      <c r="AE29" s="12"/>
      <c r="AF29" s="12"/>
      <c r="AG29" s="12"/>
      <c r="AH29" s="12"/>
      <c r="AI29" s="12"/>
      <c r="AJ29" s="12"/>
      <c r="AK29" s="12"/>
      <c r="AL29" s="12"/>
      <c r="AM29" s="16"/>
    </row>
    <row r="30" spans="2:39" ht="25.05" customHeight="1">
      <c r="B30" s="15"/>
      <c r="C30" s="35"/>
      <c r="D30" s="23"/>
      <c r="E30" s="19" t="s">
        <v>414</v>
      </c>
      <c r="F30" s="9" t="s">
        <v>44</v>
      </c>
      <c r="G30" s="10">
        <v>0.21111111111111111</v>
      </c>
      <c r="H30" s="10">
        <v>0.23472222222222222</v>
      </c>
      <c r="I30" s="11">
        <f t="shared" si="4"/>
        <v>2.361111111111111E-2</v>
      </c>
      <c r="J30" s="12">
        <v>4</v>
      </c>
      <c r="K30" s="12">
        <v>140.01</v>
      </c>
      <c r="L30" s="13">
        <f t="shared" si="5"/>
        <v>61.769117647058827</v>
      </c>
      <c r="M30" s="12"/>
      <c r="N30" s="12"/>
      <c r="O30" s="12"/>
      <c r="P30" s="12"/>
      <c r="Q30" s="12"/>
      <c r="R30" s="14"/>
      <c r="S30" s="14"/>
      <c r="T30" s="12"/>
      <c r="U30" s="12"/>
      <c r="V30" s="14">
        <v>2</v>
      </c>
      <c r="W30" s="14"/>
      <c r="X30" s="12"/>
      <c r="Y30" s="12"/>
      <c r="Z30" s="12"/>
      <c r="AA30" s="12"/>
      <c r="AB30" s="12"/>
      <c r="AC30" s="12">
        <v>32</v>
      </c>
      <c r="AD30" s="12"/>
      <c r="AE30" s="12"/>
      <c r="AF30" s="12"/>
      <c r="AG30" s="12"/>
      <c r="AH30" s="12"/>
      <c r="AI30" s="12"/>
      <c r="AJ30" s="12"/>
      <c r="AK30" s="12"/>
      <c r="AL30" s="12"/>
      <c r="AM30" s="16"/>
    </row>
    <row r="31" spans="2:39" ht="25.05" customHeight="1">
      <c r="B31" s="15"/>
      <c r="C31" s="35"/>
      <c r="D31" s="23"/>
      <c r="E31" s="19"/>
      <c r="F31" s="9" t="s">
        <v>44</v>
      </c>
      <c r="G31" s="10"/>
      <c r="H31" s="10"/>
      <c r="I31" s="11">
        <f t="shared" si="4"/>
        <v>0</v>
      </c>
      <c r="J31" s="12"/>
      <c r="K31" s="12"/>
      <c r="L31" s="13" t="str">
        <f t="shared" si="5"/>
        <v>0</v>
      </c>
      <c r="M31" s="12"/>
      <c r="N31" s="12"/>
      <c r="O31" s="12"/>
      <c r="P31" s="12"/>
      <c r="Q31" s="12"/>
      <c r="R31" s="14"/>
      <c r="S31" s="14"/>
      <c r="T31" s="12"/>
      <c r="U31" s="12"/>
      <c r="V31" s="14"/>
      <c r="W31" s="14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6"/>
    </row>
    <row r="32" spans="2:39" ht="25.05" customHeight="1">
      <c r="B32" s="15"/>
      <c r="C32" s="35"/>
      <c r="D32" s="7" t="s">
        <v>201</v>
      </c>
      <c r="E32" s="19" t="s">
        <v>415</v>
      </c>
      <c r="F32" s="9" t="s">
        <v>44</v>
      </c>
      <c r="G32" s="10">
        <v>0.85763888888888884</v>
      </c>
      <c r="H32" s="10">
        <v>0.86458333333333337</v>
      </c>
      <c r="I32" s="11">
        <f t="shared" si="4"/>
        <v>6.9444444444445308E-3</v>
      </c>
      <c r="J32" s="12">
        <v>2</v>
      </c>
      <c r="K32" s="12">
        <v>5.48</v>
      </c>
      <c r="L32" s="13">
        <f t="shared" si="5"/>
        <v>16.439999999999795</v>
      </c>
      <c r="M32" s="12"/>
      <c r="N32" s="12"/>
      <c r="O32" s="12"/>
      <c r="P32" s="12"/>
      <c r="Q32" s="12"/>
      <c r="R32" s="14"/>
      <c r="S32" s="14"/>
      <c r="T32" s="12"/>
      <c r="U32" s="12"/>
      <c r="V32" s="14"/>
      <c r="W32" s="14"/>
      <c r="X32" s="12"/>
      <c r="Y32" s="12"/>
      <c r="Z32" s="12"/>
      <c r="AA32" s="12"/>
      <c r="AB32" s="12"/>
      <c r="AC32" s="12"/>
      <c r="AD32" s="12"/>
      <c r="AE32" s="12"/>
      <c r="AF32" s="12"/>
      <c r="AG32" s="12">
        <v>10</v>
      </c>
      <c r="AH32" s="12"/>
      <c r="AI32" s="12"/>
      <c r="AJ32" s="12"/>
      <c r="AK32" s="12"/>
      <c r="AL32" s="12"/>
      <c r="AM32" s="16"/>
    </row>
    <row r="33" spans="2:39" ht="25.05" customHeight="1">
      <c r="B33" s="15"/>
      <c r="C33" s="35"/>
      <c r="D33" s="23"/>
      <c r="E33" s="19"/>
      <c r="F33" s="9" t="s">
        <v>44</v>
      </c>
      <c r="G33" s="10"/>
      <c r="H33" s="10"/>
      <c r="I33" s="11">
        <f t="shared" si="4"/>
        <v>0</v>
      </c>
      <c r="J33" s="12"/>
      <c r="K33" s="12"/>
      <c r="L33" s="13" t="str">
        <f t="shared" si="5"/>
        <v>0</v>
      </c>
      <c r="M33" s="12"/>
      <c r="N33" s="12"/>
      <c r="O33" s="12"/>
      <c r="P33" s="12"/>
      <c r="Q33" s="12"/>
      <c r="R33" s="14"/>
      <c r="S33" s="14"/>
      <c r="T33" s="12"/>
      <c r="U33" s="12"/>
      <c r="V33" s="14"/>
      <c r="W33" s="14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6"/>
    </row>
    <row r="34" spans="2:39" ht="25.05" customHeight="1">
      <c r="B34" s="15"/>
      <c r="C34" s="35"/>
      <c r="D34" s="23" t="s">
        <v>182</v>
      </c>
      <c r="E34" s="92" t="s">
        <v>416</v>
      </c>
      <c r="F34" s="9" t="s">
        <v>44</v>
      </c>
      <c r="G34" s="10">
        <v>0.875</v>
      </c>
      <c r="H34" s="10">
        <v>0.92569444444444449</v>
      </c>
      <c r="I34" s="11">
        <f t="shared" si="4"/>
        <v>5.0694444444444486E-2</v>
      </c>
      <c r="J34" s="12">
        <v>2</v>
      </c>
      <c r="K34" s="12">
        <v>42.69</v>
      </c>
      <c r="L34" s="13">
        <f t="shared" si="5"/>
        <v>17.54383561643834</v>
      </c>
      <c r="M34" s="12"/>
      <c r="N34" s="12"/>
      <c r="O34" s="12"/>
      <c r="P34" s="12"/>
      <c r="Q34" s="12"/>
      <c r="R34" s="14"/>
      <c r="S34" s="14"/>
      <c r="T34" s="12"/>
      <c r="U34" s="12"/>
      <c r="V34" s="14"/>
      <c r="W34" s="14"/>
      <c r="X34" s="12"/>
      <c r="Y34" s="12"/>
      <c r="Z34" s="12"/>
      <c r="AA34" s="12"/>
      <c r="AB34" s="12"/>
      <c r="AC34" s="12"/>
      <c r="AD34" s="12"/>
      <c r="AE34" s="12"/>
      <c r="AF34" s="12"/>
      <c r="AG34" s="12">
        <v>73</v>
      </c>
      <c r="AH34" s="12"/>
      <c r="AI34" s="12"/>
      <c r="AJ34" s="12"/>
      <c r="AK34" s="12"/>
      <c r="AL34" s="12"/>
      <c r="AM34" s="16"/>
    </row>
    <row r="35" spans="2:39" ht="25.05" customHeight="1">
      <c r="B35" s="15"/>
      <c r="C35" s="35"/>
      <c r="D35" s="23"/>
      <c r="E35" s="19" t="s">
        <v>222</v>
      </c>
      <c r="F35" s="9" t="s">
        <v>44</v>
      </c>
      <c r="G35" s="10">
        <v>0.92013888888888884</v>
      </c>
      <c r="H35" s="10">
        <v>0.93333333333333335</v>
      </c>
      <c r="I35" s="11">
        <f t="shared" si="4"/>
        <v>1.3194444444444509E-2</v>
      </c>
      <c r="J35" s="12">
        <v>4</v>
      </c>
      <c r="K35" s="12">
        <v>82.9</v>
      </c>
      <c r="L35" s="13">
        <f t="shared" si="5"/>
        <v>65.447368421052317</v>
      </c>
      <c r="M35" s="12"/>
      <c r="N35" s="12"/>
      <c r="O35" s="12"/>
      <c r="P35" s="12"/>
      <c r="Q35" s="12"/>
      <c r="R35" s="14"/>
      <c r="S35" s="14"/>
      <c r="T35" s="12"/>
      <c r="U35" s="12"/>
      <c r="V35" s="14">
        <v>2</v>
      </c>
      <c r="W35" s="14"/>
      <c r="X35" s="12"/>
      <c r="Y35" s="12"/>
      <c r="Z35" s="12"/>
      <c r="AA35" s="12"/>
      <c r="AB35" s="12"/>
      <c r="AC35" s="12"/>
      <c r="AD35" s="12">
        <v>19</v>
      </c>
      <c r="AE35" s="12"/>
      <c r="AF35" s="12"/>
      <c r="AG35" s="12"/>
      <c r="AH35" s="12"/>
      <c r="AI35" s="12"/>
      <c r="AJ35" s="12"/>
      <c r="AK35" s="12"/>
      <c r="AL35" s="12"/>
      <c r="AM35" s="16"/>
    </row>
    <row r="36" spans="2:39" ht="25.05" customHeight="1">
      <c r="B36" s="15"/>
      <c r="C36" s="35"/>
      <c r="D36" s="23"/>
      <c r="E36" s="19" t="s">
        <v>223</v>
      </c>
      <c r="F36" s="9" t="s">
        <v>44</v>
      </c>
      <c r="G36" s="10">
        <v>0.92013888888888884</v>
      </c>
      <c r="H36" s="10">
        <v>0.93333333333333335</v>
      </c>
      <c r="I36" s="11">
        <f t="shared" si="4"/>
        <v>1.3194444444444509E-2</v>
      </c>
      <c r="J36" s="12">
        <v>4</v>
      </c>
      <c r="K36" s="12">
        <v>82.97</v>
      </c>
      <c r="L36" s="13">
        <f t="shared" si="5"/>
        <v>65.502631578947046</v>
      </c>
      <c r="M36" s="12"/>
      <c r="N36" s="12"/>
      <c r="O36" s="12"/>
      <c r="P36" s="12"/>
      <c r="Q36" s="12"/>
      <c r="R36" s="14"/>
      <c r="S36" s="14"/>
      <c r="T36" s="12"/>
      <c r="U36" s="12"/>
      <c r="V36" s="14">
        <v>2</v>
      </c>
      <c r="W36" s="14"/>
      <c r="X36" s="12"/>
      <c r="Y36" s="12"/>
      <c r="Z36" s="12"/>
      <c r="AA36" s="12"/>
      <c r="AB36" s="12"/>
      <c r="AC36" s="12"/>
      <c r="AD36" s="12"/>
      <c r="AE36" s="12">
        <v>19</v>
      </c>
      <c r="AF36" s="12"/>
      <c r="AG36" s="12"/>
      <c r="AH36" s="12"/>
      <c r="AI36" s="12"/>
      <c r="AJ36" s="12"/>
      <c r="AK36" s="12"/>
      <c r="AL36" s="12"/>
      <c r="AM36" s="16"/>
    </row>
    <row r="37" spans="2:39" ht="25.05" customHeight="1">
      <c r="B37" s="15"/>
      <c r="C37" s="35"/>
      <c r="D37" s="17"/>
      <c r="E37" s="19" t="s">
        <v>224</v>
      </c>
      <c r="F37" s="9" t="s">
        <v>44</v>
      </c>
      <c r="G37" s="10">
        <v>0.93888888888888888</v>
      </c>
      <c r="H37" s="10">
        <v>0.95</v>
      </c>
      <c r="I37" s="11">
        <f t="shared" si="4"/>
        <v>1.1111111111111072E-2</v>
      </c>
      <c r="J37" s="12">
        <v>4</v>
      </c>
      <c r="K37" s="12">
        <v>82.14</v>
      </c>
      <c r="L37" s="13">
        <f t="shared" si="5"/>
        <v>77.006250000000279</v>
      </c>
      <c r="M37" s="12"/>
      <c r="N37" s="12"/>
      <c r="O37" s="12"/>
      <c r="P37" s="12"/>
      <c r="Q37" s="12"/>
      <c r="R37" s="14"/>
      <c r="S37" s="14"/>
      <c r="T37" s="12"/>
      <c r="U37" s="12"/>
      <c r="V37" s="14">
        <v>2</v>
      </c>
      <c r="W37" s="14"/>
      <c r="X37" s="12"/>
      <c r="Y37" s="12"/>
      <c r="Z37" s="12"/>
      <c r="AA37" s="12"/>
      <c r="AB37" s="12"/>
      <c r="AC37" s="12"/>
      <c r="AD37" s="12">
        <v>16</v>
      </c>
      <c r="AE37" s="12"/>
      <c r="AF37" s="12"/>
      <c r="AG37" s="12"/>
      <c r="AH37" s="12"/>
      <c r="AI37" s="12"/>
      <c r="AJ37" s="12"/>
      <c r="AK37" s="12"/>
      <c r="AL37" s="12"/>
      <c r="AM37" s="16"/>
    </row>
    <row r="38" spans="2:39" ht="25.05" customHeight="1">
      <c r="B38" s="15"/>
      <c r="C38" s="35"/>
      <c r="D38" s="23"/>
      <c r="E38" s="19" t="s">
        <v>225</v>
      </c>
      <c r="F38" s="9" t="s">
        <v>44</v>
      </c>
      <c r="G38" s="10">
        <v>0.93888888888888888</v>
      </c>
      <c r="H38" s="10">
        <v>0.95</v>
      </c>
      <c r="I38" s="11">
        <f t="shared" si="4"/>
        <v>1.1111111111111072E-2</v>
      </c>
      <c r="J38" s="12">
        <v>4</v>
      </c>
      <c r="K38" s="12">
        <v>82.14</v>
      </c>
      <c r="L38" s="13">
        <f t="shared" si="5"/>
        <v>77.006250000000279</v>
      </c>
      <c r="M38" s="12"/>
      <c r="N38" s="12"/>
      <c r="O38" s="12"/>
      <c r="P38" s="12"/>
      <c r="Q38" s="12"/>
      <c r="R38" s="14"/>
      <c r="S38" s="14"/>
      <c r="T38" s="12"/>
      <c r="U38" s="12"/>
      <c r="V38" s="14">
        <v>2</v>
      </c>
      <c r="W38" s="14"/>
      <c r="X38" s="12"/>
      <c r="Y38" s="12"/>
      <c r="Z38" s="12"/>
      <c r="AA38" s="12"/>
      <c r="AB38" s="12"/>
      <c r="AC38" s="12"/>
      <c r="AD38" s="12"/>
      <c r="AE38" s="12">
        <v>16</v>
      </c>
      <c r="AF38" s="12"/>
      <c r="AG38" s="12"/>
      <c r="AH38" s="12"/>
      <c r="AI38" s="12"/>
      <c r="AJ38" s="12"/>
      <c r="AK38" s="12"/>
      <c r="AL38" s="12"/>
      <c r="AM38" s="16"/>
    </row>
    <row r="39" spans="2:39" ht="25.05" customHeight="1">
      <c r="B39" s="15"/>
      <c r="C39" s="35"/>
      <c r="D39" s="23"/>
      <c r="E39" s="19" t="s">
        <v>226</v>
      </c>
      <c r="F39" s="9" t="s">
        <v>44</v>
      </c>
      <c r="G39" s="10">
        <v>0.95972222222222225</v>
      </c>
      <c r="H39" s="10">
        <v>0.97222222222222221</v>
      </c>
      <c r="I39" s="11">
        <f t="shared" si="4"/>
        <v>1.2499999999999956E-2</v>
      </c>
      <c r="J39" s="12">
        <v>4</v>
      </c>
      <c r="K39" s="12">
        <v>82</v>
      </c>
      <c r="L39" s="13">
        <f t="shared" si="5"/>
        <v>68.333333333333584</v>
      </c>
      <c r="M39" s="12"/>
      <c r="N39" s="12"/>
      <c r="O39" s="12"/>
      <c r="P39" s="12"/>
      <c r="Q39" s="12"/>
      <c r="R39" s="14"/>
      <c r="S39" s="14"/>
      <c r="T39" s="12"/>
      <c r="U39" s="12"/>
      <c r="V39" s="14">
        <v>2</v>
      </c>
      <c r="W39" s="14"/>
      <c r="X39" s="12"/>
      <c r="Y39" s="12"/>
      <c r="Z39" s="12"/>
      <c r="AA39" s="12"/>
      <c r="AB39" s="12"/>
      <c r="AC39" s="12"/>
      <c r="AD39" s="12">
        <v>18</v>
      </c>
      <c r="AE39" s="12"/>
      <c r="AF39" s="12"/>
      <c r="AG39" s="12"/>
      <c r="AH39" s="12"/>
      <c r="AI39" s="12"/>
      <c r="AJ39" s="12"/>
      <c r="AK39" s="12"/>
      <c r="AL39" s="12"/>
      <c r="AM39" s="16"/>
    </row>
    <row r="40" spans="2:39" ht="25.05" customHeight="1">
      <c r="B40" s="15"/>
      <c r="C40" s="35"/>
      <c r="D40" s="23"/>
      <c r="E40" s="19" t="s">
        <v>417</v>
      </c>
      <c r="F40" s="9" t="s">
        <v>44</v>
      </c>
      <c r="G40" s="10">
        <v>0.95972222222222225</v>
      </c>
      <c r="H40" s="10">
        <v>0.97291666666666665</v>
      </c>
      <c r="I40" s="11">
        <f t="shared" si="4"/>
        <v>1.3194444444444398E-2</v>
      </c>
      <c r="J40" s="12">
        <v>4</v>
      </c>
      <c r="K40" s="12">
        <v>82.01</v>
      </c>
      <c r="L40" s="13">
        <f t="shared" si="5"/>
        <v>64.744736842105496</v>
      </c>
      <c r="M40" s="12"/>
      <c r="N40" s="12"/>
      <c r="O40" s="12"/>
      <c r="P40" s="12"/>
      <c r="Q40" s="12"/>
      <c r="R40" s="14"/>
      <c r="S40" s="14"/>
      <c r="T40" s="12"/>
      <c r="U40" s="12"/>
      <c r="V40" s="14">
        <v>2</v>
      </c>
      <c r="W40" s="14"/>
      <c r="X40" s="12"/>
      <c r="Y40" s="12"/>
      <c r="Z40" s="12"/>
      <c r="AA40" s="12"/>
      <c r="AB40" s="12"/>
      <c r="AC40" s="12"/>
      <c r="AD40" s="12"/>
      <c r="AE40" s="12">
        <v>19</v>
      </c>
      <c r="AF40" s="12"/>
      <c r="AG40" s="12"/>
      <c r="AH40" s="12"/>
      <c r="AI40" s="12"/>
      <c r="AJ40" s="12"/>
      <c r="AK40" s="12"/>
      <c r="AL40" s="12"/>
      <c r="AM40" s="16"/>
    </row>
    <row r="41" spans="2:39" ht="25.05" customHeight="1">
      <c r="B41" s="15"/>
      <c r="C41" s="35"/>
      <c r="D41" s="23"/>
      <c r="E41" s="19" t="s">
        <v>418</v>
      </c>
      <c r="F41" s="9" t="s">
        <v>44</v>
      </c>
      <c r="G41" s="10">
        <v>0.97916666666666663</v>
      </c>
      <c r="H41" s="10">
        <v>0.9916666666666667</v>
      </c>
      <c r="I41" s="11">
        <f t="shared" si="4"/>
        <v>1.2500000000000067E-2</v>
      </c>
      <c r="J41" s="12">
        <v>4</v>
      </c>
      <c r="K41" s="12">
        <v>82.14</v>
      </c>
      <c r="L41" s="13">
        <f t="shared" si="5"/>
        <v>68.449999999999633</v>
      </c>
      <c r="M41" s="12"/>
      <c r="N41" s="12"/>
      <c r="O41" s="12"/>
      <c r="P41" s="12"/>
      <c r="Q41" s="12"/>
      <c r="R41" s="14"/>
      <c r="S41" s="14"/>
      <c r="T41" s="12"/>
      <c r="U41" s="12"/>
      <c r="V41" s="14">
        <v>2</v>
      </c>
      <c r="W41" s="14"/>
      <c r="X41" s="12"/>
      <c r="Y41" s="12"/>
      <c r="Z41" s="12"/>
      <c r="AA41" s="12"/>
      <c r="AB41" s="12"/>
      <c r="AC41" s="12"/>
      <c r="AD41" s="12">
        <v>18</v>
      </c>
      <c r="AE41" s="12"/>
      <c r="AF41" s="12"/>
      <c r="AG41" s="12"/>
      <c r="AH41" s="12"/>
      <c r="AI41" s="12"/>
      <c r="AJ41" s="12"/>
      <c r="AK41" s="12"/>
      <c r="AL41" s="12"/>
      <c r="AM41" s="16"/>
    </row>
    <row r="42" spans="2:39" ht="25.05" customHeight="1">
      <c r="B42" s="15"/>
      <c r="C42" s="35"/>
      <c r="D42" s="23"/>
      <c r="E42" s="19" t="s">
        <v>419</v>
      </c>
      <c r="F42" s="9" t="s">
        <v>44</v>
      </c>
      <c r="G42" s="10">
        <v>0.97916666666666663</v>
      </c>
      <c r="H42" s="10">
        <v>0.9916666666666667</v>
      </c>
      <c r="I42" s="11">
        <f t="shared" si="4"/>
        <v>1.2500000000000067E-2</v>
      </c>
      <c r="J42" s="12">
        <v>4</v>
      </c>
      <c r="K42" s="12">
        <v>82.14</v>
      </c>
      <c r="L42" s="13">
        <f t="shared" si="5"/>
        <v>68.449999999999633</v>
      </c>
      <c r="M42" s="12"/>
      <c r="N42" s="12"/>
      <c r="O42" s="12"/>
      <c r="P42" s="12"/>
      <c r="Q42" s="12"/>
      <c r="R42" s="14"/>
      <c r="S42" s="14"/>
      <c r="T42" s="12"/>
      <c r="U42" s="12"/>
      <c r="V42" s="14">
        <v>2</v>
      </c>
      <c r="W42" s="14"/>
      <c r="X42" s="12"/>
      <c r="Y42" s="12"/>
      <c r="Z42" s="12"/>
      <c r="AA42" s="12"/>
      <c r="AB42" s="12"/>
      <c r="AC42" s="12"/>
      <c r="AD42" s="12"/>
      <c r="AE42" s="12">
        <v>18</v>
      </c>
      <c r="AF42" s="12"/>
      <c r="AG42" s="12"/>
      <c r="AH42" s="12"/>
      <c r="AI42" s="12"/>
      <c r="AJ42" s="12"/>
      <c r="AK42" s="12"/>
      <c r="AL42" s="12"/>
      <c r="AM42" s="16"/>
    </row>
    <row r="43" spans="2:39" ht="25.05" customHeight="1">
      <c r="B43" s="15"/>
      <c r="C43" s="35"/>
      <c r="D43" s="23"/>
      <c r="E43" s="19" t="s">
        <v>420</v>
      </c>
      <c r="F43" s="16"/>
      <c r="G43" s="10">
        <v>46105.99722222222</v>
      </c>
      <c r="H43" s="10">
        <v>46106.009722222225</v>
      </c>
      <c r="I43" s="11">
        <f t="shared" si="4"/>
        <v>1.2500000004365575E-2</v>
      </c>
      <c r="J43" s="12">
        <v>4</v>
      </c>
      <c r="K43" s="12">
        <v>82.14</v>
      </c>
      <c r="L43" s="13">
        <f t="shared" si="5"/>
        <v>68.449999976094105</v>
      </c>
      <c r="M43" s="12"/>
      <c r="N43" s="12"/>
      <c r="O43" s="12"/>
      <c r="P43" s="12"/>
      <c r="Q43" s="12"/>
      <c r="R43" s="14"/>
      <c r="S43" s="14"/>
      <c r="T43" s="12"/>
      <c r="U43" s="12"/>
      <c r="V43" s="14">
        <v>2</v>
      </c>
      <c r="W43" s="14"/>
      <c r="X43" s="12"/>
      <c r="Y43" s="12"/>
      <c r="Z43" s="12"/>
      <c r="AA43" s="12"/>
      <c r="AB43" s="12"/>
      <c r="AC43" s="12"/>
      <c r="AD43" s="12">
        <v>18</v>
      </c>
      <c r="AE43" s="12"/>
      <c r="AF43" s="12"/>
      <c r="AG43" s="12"/>
      <c r="AH43" s="12"/>
      <c r="AI43" s="12"/>
      <c r="AJ43" s="12"/>
      <c r="AK43" s="12"/>
      <c r="AL43" s="12"/>
      <c r="AM43" s="16"/>
    </row>
    <row r="44" spans="2:39" ht="25.05" customHeight="1">
      <c r="B44" s="15"/>
      <c r="C44" s="35"/>
      <c r="D44" s="23"/>
      <c r="E44" s="19" t="s">
        <v>421</v>
      </c>
      <c r="F44" s="9" t="s">
        <v>44</v>
      </c>
      <c r="G44" s="10">
        <v>0</v>
      </c>
      <c r="H44" s="10">
        <v>1.2500000000000001E-2</v>
      </c>
      <c r="I44" s="11">
        <f t="shared" si="4"/>
        <v>1.2500000000000001E-2</v>
      </c>
      <c r="J44" s="12">
        <v>4</v>
      </c>
      <c r="K44" s="12">
        <v>81.5</v>
      </c>
      <c r="L44" s="13">
        <f t="shared" si="5"/>
        <v>67.916666666666671</v>
      </c>
      <c r="M44" s="12"/>
      <c r="N44" s="12"/>
      <c r="O44" s="12"/>
      <c r="P44" s="12"/>
      <c r="Q44" s="12"/>
      <c r="R44" s="14"/>
      <c r="S44" s="14"/>
      <c r="T44" s="12"/>
      <c r="U44" s="12"/>
      <c r="V44" s="14">
        <v>2</v>
      </c>
      <c r="W44" s="14"/>
      <c r="X44" s="12"/>
      <c r="Y44" s="12"/>
      <c r="Z44" s="12"/>
      <c r="AA44" s="12"/>
      <c r="AB44" s="12"/>
      <c r="AC44" s="12"/>
      <c r="AD44" s="12"/>
      <c r="AE44" s="12">
        <v>18</v>
      </c>
      <c r="AF44" s="12"/>
      <c r="AG44" s="12"/>
      <c r="AH44" s="12"/>
      <c r="AI44" s="12"/>
      <c r="AJ44" s="12"/>
      <c r="AK44" s="12"/>
      <c r="AL44" s="12"/>
      <c r="AM44" s="16"/>
    </row>
    <row r="45" spans="2:39" ht="25.05" customHeight="1">
      <c r="B45" s="15"/>
      <c r="C45" s="35"/>
      <c r="D45" s="23"/>
      <c r="E45" s="19" t="s">
        <v>422</v>
      </c>
      <c r="F45" s="9" t="s">
        <v>44</v>
      </c>
      <c r="G45" s="10">
        <v>1.7361111111111112E-2</v>
      </c>
      <c r="H45" s="10">
        <v>2.9861111111111113E-2</v>
      </c>
      <c r="I45" s="11">
        <f t="shared" si="4"/>
        <v>1.2500000000000001E-2</v>
      </c>
      <c r="J45" s="12">
        <v>4</v>
      </c>
      <c r="K45" s="12">
        <v>81.5</v>
      </c>
      <c r="L45" s="13">
        <f t="shared" si="5"/>
        <v>67.916666666666671</v>
      </c>
      <c r="M45" s="12"/>
      <c r="N45" s="12"/>
      <c r="O45" s="12"/>
      <c r="P45" s="12"/>
      <c r="Q45" s="12"/>
      <c r="R45" s="14"/>
      <c r="S45" s="14"/>
      <c r="T45" s="12"/>
      <c r="U45" s="12"/>
      <c r="V45" s="14">
        <v>2</v>
      </c>
      <c r="W45" s="14"/>
      <c r="X45" s="12"/>
      <c r="Y45" s="12"/>
      <c r="Z45" s="12"/>
      <c r="AA45" s="12"/>
      <c r="AB45" s="12"/>
      <c r="AC45" s="12"/>
      <c r="AD45" s="12">
        <v>18</v>
      </c>
      <c r="AE45" s="12"/>
      <c r="AF45" s="12"/>
      <c r="AG45" s="12"/>
      <c r="AH45" s="12"/>
      <c r="AI45" s="12"/>
      <c r="AJ45" s="12"/>
      <c r="AK45" s="12"/>
      <c r="AL45" s="12"/>
      <c r="AM45" s="16"/>
    </row>
    <row r="46" spans="2:39" ht="25.05" customHeight="1">
      <c r="B46" s="15"/>
      <c r="C46" s="35"/>
      <c r="D46" s="23"/>
      <c r="E46" s="19" t="s">
        <v>227</v>
      </c>
      <c r="F46" s="9" t="s">
        <v>44</v>
      </c>
      <c r="G46" s="10">
        <v>0.88263888888888886</v>
      </c>
      <c r="H46" s="10">
        <v>0.90069444444444446</v>
      </c>
      <c r="I46" s="11">
        <f t="shared" si="4"/>
        <v>1.8055555555555602E-2</v>
      </c>
      <c r="J46" s="12">
        <v>3</v>
      </c>
      <c r="K46" s="12">
        <v>143.04</v>
      </c>
      <c r="L46" s="13">
        <f t="shared" si="5"/>
        <v>110.03076923076894</v>
      </c>
      <c r="M46" s="12"/>
      <c r="N46" s="12"/>
      <c r="O46" s="12"/>
      <c r="P46" s="12"/>
      <c r="Q46" s="12"/>
      <c r="R46" s="14"/>
      <c r="S46" s="14"/>
      <c r="T46" s="12"/>
      <c r="U46" s="12"/>
      <c r="V46" s="14">
        <v>2</v>
      </c>
      <c r="W46" s="14"/>
      <c r="X46" s="12"/>
      <c r="Y46" s="12"/>
      <c r="Z46" s="12"/>
      <c r="AA46" s="12"/>
      <c r="AB46" s="12">
        <v>26</v>
      </c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6"/>
    </row>
    <row r="47" spans="2:39" ht="25.05" customHeight="1">
      <c r="B47" s="15"/>
      <c r="C47" s="35"/>
      <c r="D47" s="23"/>
      <c r="E47" s="19" t="s">
        <v>228</v>
      </c>
      <c r="F47" s="9" t="s">
        <v>44</v>
      </c>
      <c r="G47" s="10">
        <v>0.89097222222222228</v>
      </c>
      <c r="H47" s="10">
        <v>0.90694444444444444</v>
      </c>
      <c r="I47" s="11">
        <f t="shared" si="4"/>
        <v>1.5972222222222165E-2</v>
      </c>
      <c r="J47" s="12">
        <v>3</v>
      </c>
      <c r="K47" s="12">
        <v>141.33000000000001</v>
      </c>
      <c r="L47" s="13">
        <f t="shared" si="5"/>
        <v>122.89565217391349</v>
      </c>
      <c r="M47" s="12"/>
      <c r="N47" s="12"/>
      <c r="O47" s="12"/>
      <c r="P47" s="12"/>
      <c r="Q47" s="12"/>
      <c r="R47" s="14"/>
      <c r="S47" s="14"/>
      <c r="T47" s="12"/>
      <c r="U47" s="12"/>
      <c r="V47" s="14">
        <v>2</v>
      </c>
      <c r="W47" s="14"/>
      <c r="X47" s="12"/>
      <c r="Y47" s="12"/>
      <c r="Z47" s="12"/>
      <c r="AA47" s="12"/>
      <c r="AB47" s="12"/>
      <c r="AC47" s="12"/>
      <c r="AD47" s="12">
        <v>23</v>
      </c>
      <c r="AE47" s="12"/>
      <c r="AF47" s="12"/>
      <c r="AG47" s="12"/>
      <c r="AH47" s="12"/>
      <c r="AI47" s="12"/>
      <c r="AJ47" s="12"/>
      <c r="AK47" s="12"/>
      <c r="AL47" s="12"/>
      <c r="AM47" s="16"/>
    </row>
    <row r="48" spans="2:39" ht="25.05" customHeight="1">
      <c r="B48" s="15"/>
      <c r="C48" s="35"/>
      <c r="D48" s="23"/>
      <c r="E48" s="19" t="s">
        <v>423</v>
      </c>
      <c r="F48" s="9" t="s">
        <v>44</v>
      </c>
      <c r="G48" s="10">
        <v>0.89097222222222228</v>
      </c>
      <c r="H48" s="10">
        <v>0.90694444444444444</v>
      </c>
      <c r="I48" s="11">
        <f t="shared" si="4"/>
        <v>1.5972222222222165E-2</v>
      </c>
      <c r="J48" s="12">
        <v>3</v>
      </c>
      <c r="K48" s="12">
        <v>141.66</v>
      </c>
      <c r="L48" s="13">
        <f t="shared" si="5"/>
        <v>123.1826086956526</v>
      </c>
      <c r="M48" s="12"/>
      <c r="N48" s="12"/>
      <c r="O48" s="12"/>
      <c r="P48" s="12"/>
      <c r="Q48" s="12"/>
      <c r="R48" s="14"/>
      <c r="S48" s="14"/>
      <c r="T48" s="12"/>
      <c r="U48" s="12"/>
      <c r="V48" s="14">
        <v>2</v>
      </c>
      <c r="W48" s="14"/>
      <c r="X48" s="12"/>
      <c r="Y48" s="12"/>
      <c r="Z48" s="12"/>
      <c r="AA48" s="12"/>
      <c r="AB48" s="12"/>
      <c r="AC48" s="12"/>
      <c r="AD48" s="12"/>
      <c r="AE48" s="12">
        <v>23</v>
      </c>
      <c r="AF48" s="12"/>
      <c r="AG48" s="12"/>
      <c r="AH48" s="12"/>
      <c r="AI48" s="12"/>
      <c r="AJ48" s="12"/>
      <c r="AK48" s="12"/>
      <c r="AL48" s="12"/>
      <c r="AM48" s="16"/>
    </row>
    <row r="49" spans="2:39" ht="25.05" customHeight="1">
      <c r="B49" s="15"/>
      <c r="C49" s="35"/>
      <c r="D49" s="23"/>
      <c r="E49" s="19" t="s">
        <v>424</v>
      </c>
      <c r="F49" s="9" t="s">
        <v>44</v>
      </c>
      <c r="G49" s="10">
        <v>0.9</v>
      </c>
      <c r="H49" s="10">
        <v>0.91597222222222219</v>
      </c>
      <c r="I49" s="11">
        <f t="shared" si="4"/>
        <v>1.5972222222222165E-2</v>
      </c>
      <c r="J49" s="12">
        <v>3</v>
      </c>
      <c r="K49" s="12">
        <v>143.01</v>
      </c>
      <c r="L49" s="13">
        <f t="shared" si="5"/>
        <v>124.35652173913087</v>
      </c>
      <c r="M49" s="12"/>
      <c r="N49" s="12"/>
      <c r="O49" s="12"/>
      <c r="P49" s="12"/>
      <c r="Q49" s="12"/>
      <c r="R49" s="14"/>
      <c r="S49" s="14"/>
      <c r="T49" s="12"/>
      <c r="U49" s="12"/>
      <c r="V49" s="14">
        <v>2</v>
      </c>
      <c r="W49" s="14"/>
      <c r="X49" s="12"/>
      <c r="Y49" s="12"/>
      <c r="Z49" s="12"/>
      <c r="AA49" s="12"/>
      <c r="AB49" s="12"/>
      <c r="AC49" s="12">
        <v>23</v>
      </c>
      <c r="AD49" s="12"/>
      <c r="AE49" s="12"/>
      <c r="AF49" s="12"/>
      <c r="AG49" s="12"/>
      <c r="AH49" s="12"/>
      <c r="AI49" s="12"/>
      <c r="AJ49" s="12"/>
      <c r="AK49" s="12"/>
      <c r="AL49" s="12"/>
      <c r="AM49" s="16"/>
    </row>
    <row r="50" spans="2:39" ht="25.05" customHeight="1">
      <c r="B50" s="15"/>
      <c r="C50" s="35"/>
      <c r="D50" s="23"/>
      <c r="E50" s="19" t="s">
        <v>425</v>
      </c>
      <c r="F50" s="9" t="s">
        <v>44</v>
      </c>
      <c r="G50" s="10">
        <v>0.92361111111111116</v>
      </c>
      <c r="H50" s="10">
        <v>0.93611111111111112</v>
      </c>
      <c r="I50" s="11">
        <f t="shared" si="4"/>
        <v>1.2499999999999956E-2</v>
      </c>
      <c r="J50" s="12">
        <v>3</v>
      </c>
      <c r="K50" s="12">
        <v>144.80000000000001</v>
      </c>
      <c r="L50" s="13">
        <f t="shared" si="5"/>
        <v>160.88888888888948</v>
      </c>
      <c r="M50" s="12"/>
      <c r="N50" s="12"/>
      <c r="O50" s="12"/>
      <c r="P50" s="12"/>
      <c r="Q50" s="12"/>
      <c r="R50" s="14"/>
      <c r="S50" s="14"/>
      <c r="T50" s="12"/>
      <c r="U50" s="12"/>
      <c r="V50" s="14">
        <v>2</v>
      </c>
      <c r="W50" s="14"/>
      <c r="X50" s="12"/>
      <c r="Y50" s="12"/>
      <c r="Z50" s="12"/>
      <c r="AA50" s="12"/>
      <c r="AB50" s="12">
        <v>18</v>
      </c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6"/>
    </row>
    <row r="51" spans="2:39" ht="25.05" customHeight="1">
      <c r="B51" s="15"/>
      <c r="C51" s="35"/>
      <c r="D51" s="23"/>
      <c r="E51" s="19" t="s">
        <v>426</v>
      </c>
      <c r="F51" s="9" t="s">
        <v>44</v>
      </c>
      <c r="G51" s="10">
        <v>0.93125000000000002</v>
      </c>
      <c r="H51" s="10">
        <v>0.93888888888888888</v>
      </c>
      <c r="I51" s="11">
        <f t="shared" si="4"/>
        <v>7.6388888888888618E-3</v>
      </c>
      <c r="J51" s="12">
        <v>3</v>
      </c>
      <c r="K51" s="12">
        <v>71.510000000000005</v>
      </c>
      <c r="L51" s="13">
        <f t="shared" si="5"/>
        <v>130.01818181818228</v>
      </c>
      <c r="M51" s="12"/>
      <c r="N51" s="12"/>
      <c r="O51" s="12"/>
      <c r="P51" s="12"/>
      <c r="Q51" s="12"/>
      <c r="R51" s="14"/>
      <c r="S51" s="14"/>
      <c r="T51" s="12"/>
      <c r="U51" s="12"/>
      <c r="V51" s="14">
        <v>2</v>
      </c>
      <c r="W51" s="14"/>
      <c r="X51" s="12"/>
      <c r="Y51" s="12"/>
      <c r="Z51" s="12"/>
      <c r="AA51" s="12"/>
      <c r="AB51" s="12"/>
      <c r="AC51" s="12">
        <v>11</v>
      </c>
      <c r="AD51" s="12"/>
      <c r="AE51" s="12"/>
      <c r="AF51" s="12"/>
      <c r="AG51" s="12"/>
      <c r="AH51" s="12"/>
      <c r="AI51" s="12"/>
      <c r="AJ51" s="12"/>
      <c r="AK51" s="12"/>
      <c r="AL51" s="12"/>
      <c r="AM51" s="16"/>
    </row>
    <row r="52" spans="2:39" ht="25.05" customHeight="1">
      <c r="B52" s="15"/>
      <c r="C52" s="35"/>
      <c r="D52" s="23"/>
      <c r="E52" s="19" t="s">
        <v>322</v>
      </c>
      <c r="F52" s="9" t="s">
        <v>44</v>
      </c>
      <c r="G52" s="10">
        <v>0.95625000000000004</v>
      </c>
      <c r="H52" s="10">
        <v>0.96111111111111114</v>
      </c>
      <c r="I52" s="11">
        <f t="shared" si="4"/>
        <v>4.8611111111110938E-3</v>
      </c>
      <c r="J52" s="12">
        <v>3</v>
      </c>
      <c r="K52" s="12">
        <v>68.37</v>
      </c>
      <c r="L52" s="13">
        <f t="shared" si="5"/>
        <v>195.34285714285784</v>
      </c>
      <c r="M52" s="12"/>
      <c r="N52" s="12"/>
      <c r="O52" s="12"/>
      <c r="P52" s="12"/>
      <c r="Q52" s="12"/>
      <c r="R52" s="14"/>
      <c r="S52" s="14"/>
      <c r="T52" s="12"/>
      <c r="U52" s="12"/>
      <c r="V52" s="14"/>
      <c r="W52" s="14"/>
      <c r="X52" s="12"/>
      <c r="Y52" s="12"/>
      <c r="Z52" s="12"/>
      <c r="AA52" s="12"/>
      <c r="AB52" s="12">
        <v>7</v>
      </c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6"/>
    </row>
    <row r="53" spans="2:39" ht="25.05" customHeight="1">
      <c r="B53" s="15"/>
      <c r="C53" s="35"/>
      <c r="D53" s="23"/>
      <c r="E53" s="19" t="s">
        <v>324</v>
      </c>
      <c r="F53" s="9" t="s">
        <v>44</v>
      </c>
      <c r="G53" s="10">
        <v>0.95625000000000004</v>
      </c>
      <c r="H53" s="10">
        <v>0.96111111111111114</v>
      </c>
      <c r="I53" s="11">
        <f t="shared" si="4"/>
        <v>4.8611111111110938E-3</v>
      </c>
      <c r="J53" s="12">
        <v>3</v>
      </c>
      <c r="K53" s="12">
        <v>68.37</v>
      </c>
      <c r="L53" s="13">
        <f t="shared" si="5"/>
        <v>195.34285714285784</v>
      </c>
      <c r="M53" s="12"/>
      <c r="N53" s="12"/>
      <c r="O53" s="12"/>
      <c r="P53" s="12"/>
      <c r="Q53" s="12"/>
      <c r="R53" s="14"/>
      <c r="S53" s="14"/>
      <c r="T53" s="12"/>
      <c r="U53" s="12"/>
      <c r="V53" s="14"/>
      <c r="W53" s="14"/>
      <c r="X53" s="12"/>
      <c r="Y53" s="12"/>
      <c r="Z53" s="12"/>
      <c r="AA53" s="12"/>
      <c r="AB53" s="12"/>
      <c r="AC53" s="12">
        <v>7</v>
      </c>
      <c r="AD53" s="12"/>
      <c r="AE53" s="12"/>
      <c r="AF53" s="12"/>
      <c r="AG53" s="12"/>
      <c r="AH53" s="12"/>
      <c r="AI53" s="12"/>
      <c r="AJ53" s="12"/>
      <c r="AK53" s="12"/>
      <c r="AL53" s="12"/>
      <c r="AM53" s="16"/>
    </row>
    <row r="54" spans="2:39" ht="25.05" customHeight="1">
      <c r="B54" s="15"/>
      <c r="C54" s="35"/>
      <c r="D54" s="23"/>
      <c r="E54" s="19" t="s">
        <v>325</v>
      </c>
      <c r="F54" s="9" t="s">
        <v>44</v>
      </c>
      <c r="G54" s="10">
        <v>0.96458333333333335</v>
      </c>
      <c r="H54" s="10">
        <v>0.96944444444444444</v>
      </c>
      <c r="I54" s="11">
        <f t="shared" si="4"/>
        <v>4.8611111111110938E-3</v>
      </c>
      <c r="J54" s="12">
        <v>3</v>
      </c>
      <c r="K54" s="12">
        <v>68.37</v>
      </c>
      <c r="L54" s="13">
        <f t="shared" si="5"/>
        <v>195.34285714285784</v>
      </c>
      <c r="M54" s="12"/>
      <c r="N54" s="12"/>
      <c r="O54" s="12"/>
      <c r="P54" s="12"/>
      <c r="Q54" s="12"/>
      <c r="R54" s="14"/>
      <c r="S54" s="14"/>
      <c r="T54" s="12"/>
      <c r="U54" s="12"/>
      <c r="V54" s="14"/>
      <c r="W54" s="14"/>
      <c r="X54" s="12"/>
      <c r="Y54" s="12"/>
      <c r="Z54" s="12"/>
      <c r="AA54" s="12"/>
      <c r="AB54" s="12">
        <v>7</v>
      </c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6"/>
    </row>
    <row r="55" spans="2:39" ht="25.05" customHeight="1">
      <c r="B55" s="15"/>
      <c r="C55" s="35"/>
      <c r="D55" s="23"/>
      <c r="E55" s="19" t="s">
        <v>326</v>
      </c>
      <c r="F55" s="9" t="s">
        <v>44</v>
      </c>
      <c r="G55" s="10">
        <v>0.96458333333333335</v>
      </c>
      <c r="H55" s="10">
        <v>0.96944444444444444</v>
      </c>
      <c r="I55" s="11">
        <f t="shared" si="4"/>
        <v>4.8611111111110938E-3</v>
      </c>
      <c r="J55" s="12">
        <v>3</v>
      </c>
      <c r="K55" s="12">
        <v>68.37</v>
      </c>
      <c r="L55" s="13">
        <f t="shared" si="5"/>
        <v>195.34285714285784</v>
      </c>
      <c r="M55" s="12"/>
      <c r="N55" s="12"/>
      <c r="O55" s="12"/>
      <c r="P55" s="12"/>
      <c r="Q55" s="12"/>
      <c r="R55" s="14"/>
      <c r="S55" s="14"/>
      <c r="T55" s="12"/>
      <c r="U55" s="12"/>
      <c r="V55" s="14"/>
      <c r="W55" s="14"/>
      <c r="X55" s="12"/>
      <c r="Y55" s="12"/>
      <c r="Z55" s="12"/>
      <c r="AA55" s="12"/>
      <c r="AB55" s="12"/>
      <c r="AC55" s="12">
        <v>7</v>
      </c>
      <c r="AD55" s="12"/>
      <c r="AE55" s="12"/>
      <c r="AF55" s="12"/>
      <c r="AG55" s="12"/>
      <c r="AH55" s="12"/>
      <c r="AI55" s="12"/>
      <c r="AJ55" s="12"/>
      <c r="AK55" s="12"/>
      <c r="AL55" s="12"/>
      <c r="AM55" s="16"/>
    </row>
    <row r="56" spans="2:39" ht="25.05" customHeight="1">
      <c r="B56" s="15"/>
      <c r="C56" s="35"/>
      <c r="D56" s="23"/>
      <c r="E56" s="19" t="s">
        <v>327</v>
      </c>
      <c r="F56" s="9" t="s">
        <v>44</v>
      </c>
      <c r="G56" s="10">
        <v>0.97222222222222221</v>
      </c>
      <c r="H56" s="10">
        <v>0.9770833333333333</v>
      </c>
      <c r="I56" s="11">
        <f t="shared" si="4"/>
        <v>4.8611111111110938E-3</v>
      </c>
      <c r="J56" s="12">
        <v>3</v>
      </c>
      <c r="K56" s="12">
        <v>68.37</v>
      </c>
      <c r="L56" s="13">
        <f t="shared" si="5"/>
        <v>195.34285714285784</v>
      </c>
      <c r="M56" s="12"/>
      <c r="N56" s="12"/>
      <c r="O56" s="12"/>
      <c r="P56" s="12"/>
      <c r="Q56" s="12"/>
      <c r="R56" s="14"/>
      <c r="S56" s="14"/>
      <c r="T56" s="12"/>
      <c r="U56" s="12"/>
      <c r="V56" s="14"/>
      <c r="W56" s="14"/>
      <c r="X56" s="12"/>
      <c r="Y56" s="12"/>
      <c r="Z56" s="12"/>
      <c r="AA56" s="12"/>
      <c r="AB56" s="12">
        <v>7</v>
      </c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6"/>
    </row>
    <row r="57" spans="2:39" ht="25.05" customHeight="1">
      <c r="B57" s="15"/>
      <c r="C57" s="35"/>
      <c r="D57" s="23"/>
      <c r="E57" s="19" t="s">
        <v>328</v>
      </c>
      <c r="F57" s="9" t="s">
        <v>44</v>
      </c>
      <c r="G57" s="10">
        <v>0.97291666666666665</v>
      </c>
      <c r="H57" s="10">
        <v>0.97777777777777775</v>
      </c>
      <c r="I57" s="11">
        <f t="shared" si="4"/>
        <v>4.8611111111110938E-3</v>
      </c>
      <c r="J57" s="12">
        <v>3</v>
      </c>
      <c r="K57" s="12">
        <v>68.37</v>
      </c>
      <c r="L57" s="13">
        <f t="shared" si="5"/>
        <v>195.34285714285784</v>
      </c>
      <c r="M57" s="12"/>
      <c r="N57" s="12"/>
      <c r="O57" s="12"/>
      <c r="P57" s="12"/>
      <c r="Q57" s="12"/>
      <c r="R57" s="14"/>
      <c r="S57" s="14"/>
      <c r="T57" s="12"/>
      <c r="U57" s="12"/>
      <c r="V57" s="14"/>
      <c r="W57" s="14"/>
      <c r="X57" s="12"/>
      <c r="Y57" s="12"/>
      <c r="Z57" s="12"/>
      <c r="AA57" s="12"/>
      <c r="AB57" s="12"/>
      <c r="AC57" s="12">
        <v>7</v>
      </c>
      <c r="AD57" s="12"/>
      <c r="AE57" s="12"/>
      <c r="AF57" s="12"/>
      <c r="AG57" s="12"/>
      <c r="AH57" s="12"/>
      <c r="AI57" s="12"/>
      <c r="AJ57" s="12"/>
      <c r="AK57" s="12"/>
      <c r="AL57" s="12"/>
      <c r="AM57" s="16"/>
    </row>
    <row r="58" spans="2:39" ht="25.05" customHeight="1">
      <c r="B58" s="15"/>
      <c r="C58" s="35"/>
      <c r="D58" s="23"/>
      <c r="E58" s="19" t="s">
        <v>329</v>
      </c>
      <c r="F58" s="9" t="s">
        <v>44</v>
      </c>
      <c r="G58" s="10">
        <v>0.97986111111111107</v>
      </c>
      <c r="H58" s="10">
        <v>0.98472222222222228</v>
      </c>
      <c r="I58" s="11">
        <f t="shared" si="4"/>
        <v>4.8611111111112049E-3</v>
      </c>
      <c r="J58" s="12">
        <v>3</v>
      </c>
      <c r="K58" s="12">
        <v>68.37</v>
      </c>
      <c r="L58" s="13">
        <f t="shared" si="5"/>
        <v>195.3428571428534</v>
      </c>
      <c r="M58" s="12"/>
      <c r="N58" s="12"/>
      <c r="O58" s="12"/>
      <c r="P58" s="12"/>
      <c r="Q58" s="12"/>
      <c r="R58" s="14"/>
      <c r="S58" s="14"/>
      <c r="T58" s="12"/>
      <c r="U58" s="12"/>
      <c r="V58" s="14"/>
      <c r="W58" s="14"/>
      <c r="X58" s="12"/>
      <c r="Y58" s="12"/>
      <c r="Z58" s="12"/>
      <c r="AA58" s="12"/>
      <c r="AB58" s="12">
        <v>7</v>
      </c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6"/>
    </row>
    <row r="59" spans="2:39" ht="25.05" customHeight="1">
      <c r="B59" s="15"/>
      <c r="C59" s="35"/>
      <c r="D59" s="23"/>
      <c r="E59" s="19" t="s">
        <v>330</v>
      </c>
      <c r="F59" s="9" t="s">
        <v>44</v>
      </c>
      <c r="G59" s="10">
        <v>0.98055555555555551</v>
      </c>
      <c r="H59" s="10">
        <v>0.98541666666666672</v>
      </c>
      <c r="I59" s="11">
        <f t="shared" si="4"/>
        <v>4.8611111111112049E-3</v>
      </c>
      <c r="J59" s="12">
        <v>3</v>
      </c>
      <c r="K59" s="12">
        <v>68.37</v>
      </c>
      <c r="L59" s="13">
        <f t="shared" si="5"/>
        <v>195.3428571428534</v>
      </c>
      <c r="M59" s="12"/>
      <c r="N59" s="12"/>
      <c r="O59" s="12"/>
      <c r="P59" s="12"/>
      <c r="Q59" s="12"/>
      <c r="R59" s="14"/>
      <c r="S59" s="14"/>
      <c r="T59" s="12"/>
      <c r="U59" s="12"/>
      <c r="V59" s="14"/>
      <c r="W59" s="14"/>
      <c r="X59" s="12"/>
      <c r="Y59" s="12"/>
      <c r="Z59" s="12"/>
      <c r="AA59" s="12"/>
      <c r="AB59" s="12"/>
      <c r="AC59" s="12">
        <v>7</v>
      </c>
      <c r="AD59" s="12"/>
      <c r="AE59" s="12"/>
      <c r="AF59" s="12"/>
      <c r="AG59" s="12"/>
      <c r="AH59" s="12"/>
      <c r="AI59" s="12"/>
      <c r="AJ59" s="12"/>
      <c r="AK59" s="12"/>
      <c r="AL59" s="12"/>
      <c r="AM59" s="16"/>
    </row>
    <row r="60" spans="2:39" ht="25.05" customHeight="1">
      <c r="B60" s="15"/>
      <c r="C60" s="35"/>
      <c r="D60" s="23"/>
      <c r="E60" s="19" t="s">
        <v>331</v>
      </c>
      <c r="F60" s="9" t="s">
        <v>44</v>
      </c>
      <c r="G60" s="10">
        <v>0.98819444444444449</v>
      </c>
      <c r="H60" s="10">
        <v>0.99305555555555558</v>
      </c>
      <c r="I60" s="11">
        <f t="shared" si="4"/>
        <v>4.8611111111110938E-3</v>
      </c>
      <c r="J60" s="12">
        <v>3</v>
      </c>
      <c r="K60" s="12">
        <v>68.37</v>
      </c>
      <c r="L60" s="13">
        <f t="shared" si="5"/>
        <v>195.34285714285784</v>
      </c>
      <c r="M60" s="12"/>
      <c r="N60" s="12"/>
      <c r="O60" s="12"/>
      <c r="P60" s="12"/>
      <c r="Q60" s="12"/>
      <c r="R60" s="14"/>
      <c r="S60" s="14"/>
      <c r="T60" s="12"/>
      <c r="U60" s="12"/>
      <c r="V60" s="14"/>
      <c r="W60" s="14"/>
      <c r="X60" s="12"/>
      <c r="Y60" s="12"/>
      <c r="Z60" s="12"/>
      <c r="AA60" s="12"/>
      <c r="AB60" s="12">
        <v>7</v>
      </c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6"/>
    </row>
    <row r="61" spans="2:39" ht="25.05" customHeight="1">
      <c r="B61" s="15"/>
      <c r="C61" s="35"/>
      <c r="D61" s="23"/>
      <c r="E61" s="19" t="s">
        <v>332</v>
      </c>
      <c r="F61" s="9" t="s">
        <v>44</v>
      </c>
      <c r="G61" s="10">
        <v>0.98958333333333337</v>
      </c>
      <c r="H61" s="10">
        <v>0.99444444444444446</v>
      </c>
      <c r="I61" s="11">
        <f t="shared" si="4"/>
        <v>4.8611111111110938E-3</v>
      </c>
      <c r="J61" s="12">
        <v>3</v>
      </c>
      <c r="K61" s="12">
        <v>68.37</v>
      </c>
      <c r="L61" s="13">
        <f t="shared" si="5"/>
        <v>195.34285714285784</v>
      </c>
      <c r="M61" s="12"/>
      <c r="N61" s="12"/>
      <c r="O61" s="12"/>
      <c r="P61" s="12"/>
      <c r="Q61" s="12"/>
      <c r="R61" s="14"/>
      <c r="S61" s="14"/>
      <c r="T61" s="12"/>
      <c r="U61" s="12"/>
      <c r="V61" s="14"/>
      <c r="W61" s="14"/>
      <c r="X61" s="12"/>
      <c r="Y61" s="12"/>
      <c r="Z61" s="12"/>
      <c r="AA61" s="12"/>
      <c r="AB61" s="12"/>
      <c r="AC61" s="12">
        <v>7</v>
      </c>
      <c r="AD61" s="12"/>
      <c r="AE61" s="12"/>
      <c r="AF61" s="12"/>
      <c r="AG61" s="12"/>
      <c r="AH61" s="12"/>
      <c r="AI61" s="12"/>
      <c r="AJ61" s="12"/>
      <c r="AK61" s="12"/>
      <c r="AL61" s="12"/>
      <c r="AM61" s="16"/>
    </row>
    <row r="62" spans="2:39" ht="25.05" customHeight="1">
      <c r="B62" s="15"/>
      <c r="C62" s="35"/>
      <c r="D62" s="23"/>
      <c r="E62" s="19" t="s">
        <v>427</v>
      </c>
      <c r="F62" s="9" t="s">
        <v>44</v>
      </c>
      <c r="G62" s="10">
        <v>46105.996527777781</v>
      </c>
      <c r="H62" s="10">
        <v>46106.001388888886</v>
      </c>
      <c r="I62" s="11">
        <f t="shared" si="4"/>
        <v>4.8611111051286571E-3</v>
      </c>
      <c r="J62" s="12">
        <v>3</v>
      </c>
      <c r="K62" s="12">
        <v>68.37</v>
      </c>
      <c r="L62" s="13">
        <f t="shared" si="5"/>
        <v>195.34285738326096</v>
      </c>
      <c r="M62" s="12"/>
      <c r="N62" s="12"/>
      <c r="O62" s="12"/>
      <c r="P62" s="12"/>
      <c r="Q62" s="12"/>
      <c r="R62" s="14"/>
      <c r="S62" s="14"/>
      <c r="T62" s="12"/>
      <c r="U62" s="12"/>
      <c r="V62" s="14"/>
      <c r="W62" s="14"/>
      <c r="X62" s="12"/>
      <c r="Y62" s="12"/>
      <c r="Z62" s="12"/>
      <c r="AA62" s="12"/>
      <c r="AB62" s="12">
        <v>7</v>
      </c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6"/>
    </row>
    <row r="63" spans="2:39" ht="25.05" customHeight="1">
      <c r="B63" s="15"/>
      <c r="C63" s="35"/>
      <c r="D63" s="23"/>
      <c r="E63" s="19" t="s">
        <v>428</v>
      </c>
      <c r="F63" s="9" t="s">
        <v>44</v>
      </c>
      <c r="G63" s="10">
        <v>46105.998611111114</v>
      </c>
      <c r="H63" s="10">
        <v>46106.003472222219</v>
      </c>
      <c r="I63" s="11">
        <f t="shared" si="4"/>
        <v>4.8611111051286571E-3</v>
      </c>
      <c r="J63" s="12">
        <v>3</v>
      </c>
      <c r="K63" s="12">
        <v>68.37</v>
      </c>
      <c r="L63" s="13">
        <f t="shared" si="5"/>
        <v>195.34285738326096</v>
      </c>
      <c r="M63" s="12"/>
      <c r="N63" s="12"/>
      <c r="O63" s="12"/>
      <c r="P63" s="12"/>
      <c r="Q63" s="12"/>
      <c r="R63" s="14"/>
      <c r="S63" s="14"/>
      <c r="T63" s="12"/>
      <c r="U63" s="12"/>
      <c r="V63" s="14"/>
      <c r="W63" s="14"/>
      <c r="X63" s="12"/>
      <c r="Y63" s="12"/>
      <c r="Z63" s="12"/>
      <c r="AA63" s="12"/>
      <c r="AB63" s="12"/>
      <c r="AC63" s="12">
        <v>7</v>
      </c>
      <c r="AD63" s="12"/>
      <c r="AE63" s="12"/>
      <c r="AF63" s="12"/>
      <c r="AG63" s="12"/>
      <c r="AH63" s="12"/>
      <c r="AI63" s="12"/>
      <c r="AJ63" s="12"/>
      <c r="AK63" s="12"/>
      <c r="AL63" s="12"/>
      <c r="AM63" s="16"/>
    </row>
    <row r="64" spans="2:39" ht="25.05" customHeight="1">
      <c r="B64" s="15"/>
      <c r="C64" s="35"/>
      <c r="D64" s="23"/>
      <c r="E64" s="19" t="s">
        <v>429</v>
      </c>
      <c r="F64" s="9" t="s">
        <v>44</v>
      </c>
      <c r="G64" s="10">
        <v>6.9444444444444448E-2</v>
      </c>
      <c r="H64" s="10">
        <v>7.4305555555555555E-2</v>
      </c>
      <c r="I64" s="11">
        <f t="shared" si="4"/>
        <v>4.8611111111111077E-3</v>
      </c>
      <c r="J64" s="12">
        <v>4</v>
      </c>
      <c r="K64" s="12">
        <v>68.37</v>
      </c>
      <c r="L64" s="13">
        <f t="shared" si="5"/>
        <v>146.50714285714295</v>
      </c>
      <c r="M64" s="12"/>
      <c r="N64" s="12"/>
      <c r="O64" s="12"/>
      <c r="P64" s="12"/>
      <c r="Q64" s="12"/>
      <c r="R64" s="14"/>
      <c r="S64" s="14"/>
      <c r="T64" s="12"/>
      <c r="U64" s="12"/>
      <c r="V64" s="14"/>
      <c r="W64" s="14"/>
      <c r="X64" s="12"/>
      <c r="Y64" s="12"/>
      <c r="Z64" s="12"/>
      <c r="AA64" s="12"/>
      <c r="AB64" s="12"/>
      <c r="AC64" s="12">
        <v>7</v>
      </c>
      <c r="AD64" s="12"/>
      <c r="AE64" s="12"/>
      <c r="AF64" s="12"/>
      <c r="AG64" s="12"/>
      <c r="AH64" s="12"/>
      <c r="AI64" s="12"/>
      <c r="AJ64" s="12"/>
      <c r="AK64" s="12"/>
      <c r="AL64" s="12"/>
      <c r="AM64" s="16"/>
    </row>
    <row r="65" spans="2:39" ht="25.05" customHeight="1">
      <c r="B65" s="15"/>
      <c r="C65" s="35"/>
      <c r="D65" s="23"/>
      <c r="E65" s="19" t="s">
        <v>430</v>
      </c>
      <c r="F65" s="9" t="s">
        <v>44</v>
      </c>
      <c r="G65" s="10">
        <v>7.0833333333333331E-2</v>
      </c>
      <c r="H65" s="10">
        <v>7.5694444444444439E-2</v>
      </c>
      <c r="I65" s="11">
        <f t="shared" si="4"/>
        <v>4.8611111111111077E-3</v>
      </c>
      <c r="J65" s="12">
        <v>4</v>
      </c>
      <c r="K65" s="12">
        <v>68.37</v>
      </c>
      <c r="L65" s="13">
        <f t="shared" si="5"/>
        <v>146.50714285714295</v>
      </c>
      <c r="M65" s="12"/>
      <c r="N65" s="12"/>
      <c r="O65" s="12"/>
      <c r="P65" s="12"/>
      <c r="Q65" s="12"/>
      <c r="R65" s="14"/>
      <c r="S65" s="14"/>
      <c r="T65" s="12"/>
      <c r="U65" s="12"/>
      <c r="V65" s="14"/>
      <c r="W65" s="14"/>
      <c r="X65" s="12"/>
      <c r="Y65" s="12"/>
      <c r="Z65" s="12"/>
      <c r="AA65" s="12"/>
      <c r="AB65" s="12"/>
      <c r="AC65" s="12">
        <v>7</v>
      </c>
      <c r="AD65" s="12"/>
      <c r="AE65" s="12"/>
      <c r="AF65" s="12"/>
      <c r="AG65" s="12"/>
      <c r="AH65" s="12"/>
      <c r="AI65" s="12"/>
      <c r="AJ65" s="12"/>
      <c r="AK65" s="12"/>
      <c r="AL65" s="12"/>
      <c r="AM65" s="16"/>
    </row>
    <row r="66" spans="2:39" ht="25.05" customHeight="1">
      <c r="B66" s="15"/>
      <c r="C66" s="35"/>
      <c r="D66" s="23"/>
      <c r="E66" s="19" t="s">
        <v>431</v>
      </c>
      <c r="F66" s="9" t="s">
        <v>44</v>
      </c>
      <c r="G66" s="10">
        <v>7.6388888888888895E-2</v>
      </c>
      <c r="H66" s="10">
        <v>8.1250000000000003E-2</v>
      </c>
      <c r="I66" s="11">
        <f t="shared" si="4"/>
        <v>4.8611111111111077E-3</v>
      </c>
      <c r="J66" s="12">
        <v>4</v>
      </c>
      <c r="K66" s="12">
        <v>68.37</v>
      </c>
      <c r="L66" s="13">
        <f t="shared" si="5"/>
        <v>146.50714285714295</v>
      </c>
      <c r="M66" s="12"/>
      <c r="N66" s="12"/>
      <c r="O66" s="12"/>
      <c r="P66" s="12"/>
      <c r="Q66" s="12"/>
      <c r="R66" s="14"/>
      <c r="S66" s="14"/>
      <c r="T66" s="12"/>
      <c r="U66" s="12"/>
      <c r="V66" s="14"/>
      <c r="W66" s="14"/>
      <c r="X66" s="12"/>
      <c r="Y66" s="12"/>
      <c r="Z66" s="12"/>
      <c r="AA66" s="12"/>
      <c r="AB66" s="12"/>
      <c r="AC66" s="12">
        <v>7</v>
      </c>
      <c r="AD66" s="12"/>
      <c r="AE66" s="12"/>
      <c r="AF66" s="12"/>
      <c r="AG66" s="12"/>
      <c r="AH66" s="12"/>
      <c r="AI66" s="12"/>
      <c r="AJ66" s="12"/>
      <c r="AK66" s="12"/>
      <c r="AL66" s="12"/>
      <c r="AM66" s="16"/>
    </row>
    <row r="67" spans="2:39" ht="25.05" customHeight="1">
      <c r="B67" s="15"/>
      <c r="C67" s="35"/>
      <c r="D67" s="23"/>
      <c r="E67" s="19" t="s">
        <v>432</v>
      </c>
      <c r="F67" s="9" t="s">
        <v>44</v>
      </c>
      <c r="G67" s="10">
        <v>8.3333333333333329E-2</v>
      </c>
      <c r="H67" s="10">
        <v>8.819444444444445E-2</v>
      </c>
      <c r="I67" s="11">
        <f t="shared" si="4"/>
        <v>4.8611111111111216E-3</v>
      </c>
      <c r="J67" s="12">
        <v>4</v>
      </c>
      <c r="K67" s="12">
        <v>68.37</v>
      </c>
      <c r="L67" s="13">
        <f t="shared" si="5"/>
        <v>146.50714285714255</v>
      </c>
      <c r="M67" s="12"/>
      <c r="N67" s="12"/>
      <c r="O67" s="12"/>
      <c r="P67" s="12"/>
      <c r="Q67" s="12"/>
      <c r="R67" s="14"/>
      <c r="S67" s="14"/>
      <c r="T67" s="12"/>
      <c r="U67" s="12"/>
      <c r="V67" s="14"/>
      <c r="W67" s="14"/>
      <c r="X67" s="12"/>
      <c r="Y67" s="12"/>
      <c r="Z67" s="12"/>
      <c r="AA67" s="12"/>
      <c r="AB67" s="12"/>
      <c r="AC67" s="12">
        <v>7</v>
      </c>
      <c r="AD67" s="12"/>
      <c r="AE67" s="12"/>
      <c r="AF67" s="12"/>
      <c r="AG67" s="12"/>
      <c r="AH67" s="12"/>
      <c r="AI67" s="12"/>
      <c r="AJ67" s="12"/>
      <c r="AK67" s="12"/>
      <c r="AL67" s="12"/>
      <c r="AM67" s="16"/>
    </row>
    <row r="68" spans="2:39" ht="25.05" customHeight="1">
      <c r="B68" s="15"/>
      <c r="C68" s="35"/>
      <c r="D68" s="23"/>
      <c r="E68" s="19" t="s">
        <v>433</v>
      </c>
      <c r="F68" s="9" t="s">
        <v>44</v>
      </c>
      <c r="G68" s="10">
        <v>9.166666666666666E-2</v>
      </c>
      <c r="H68" s="10">
        <v>9.6527777777777782E-2</v>
      </c>
      <c r="I68" s="11">
        <f t="shared" si="4"/>
        <v>4.8611111111111216E-3</v>
      </c>
      <c r="J68" s="12">
        <v>4</v>
      </c>
      <c r="K68" s="12">
        <v>68.37</v>
      </c>
      <c r="L68" s="13">
        <f t="shared" si="5"/>
        <v>146.50714285714255</v>
      </c>
      <c r="M68" s="12"/>
      <c r="N68" s="12"/>
      <c r="O68" s="12"/>
      <c r="P68" s="12"/>
      <c r="Q68" s="12"/>
      <c r="R68" s="14"/>
      <c r="S68" s="14"/>
      <c r="T68" s="12"/>
      <c r="U68" s="12"/>
      <c r="V68" s="14"/>
      <c r="W68" s="14"/>
      <c r="X68" s="12"/>
      <c r="Y68" s="12"/>
      <c r="Z68" s="12"/>
      <c r="AA68" s="12"/>
      <c r="AB68" s="12"/>
      <c r="AC68" s="12">
        <v>7</v>
      </c>
      <c r="AD68" s="12"/>
      <c r="AE68" s="12"/>
      <c r="AF68" s="12"/>
      <c r="AG68" s="12"/>
      <c r="AH68" s="12"/>
      <c r="AI68" s="12"/>
      <c r="AJ68" s="12"/>
      <c r="AK68" s="12"/>
      <c r="AL68" s="12"/>
      <c r="AM68" s="16"/>
    </row>
    <row r="69" spans="2:39" ht="25.05" customHeight="1">
      <c r="B69" s="15"/>
      <c r="C69" s="35"/>
      <c r="D69" s="23"/>
      <c r="E69" s="19" t="s">
        <v>434</v>
      </c>
      <c r="F69" s="9" t="s">
        <v>44</v>
      </c>
      <c r="G69" s="10">
        <v>0.1</v>
      </c>
      <c r="H69" s="10">
        <v>0.10486111111111111</v>
      </c>
      <c r="I69" s="11">
        <f t="shared" si="4"/>
        <v>4.8611111111111077E-3</v>
      </c>
      <c r="J69" s="12">
        <v>4</v>
      </c>
      <c r="K69" s="12">
        <v>68.37</v>
      </c>
      <c r="L69" s="13">
        <f t="shared" si="5"/>
        <v>146.50714285714295</v>
      </c>
      <c r="M69" s="12"/>
      <c r="N69" s="12"/>
      <c r="O69" s="12"/>
      <c r="P69" s="12"/>
      <c r="Q69" s="12"/>
      <c r="R69" s="14"/>
      <c r="S69" s="14"/>
      <c r="T69" s="12"/>
      <c r="U69" s="12"/>
      <c r="V69" s="14"/>
      <c r="W69" s="14"/>
      <c r="X69" s="12"/>
      <c r="Y69" s="12"/>
      <c r="Z69" s="12"/>
      <c r="AA69" s="12"/>
      <c r="AB69" s="12"/>
      <c r="AC69" s="12">
        <v>7</v>
      </c>
      <c r="AD69" s="12"/>
      <c r="AE69" s="12"/>
      <c r="AF69" s="12"/>
      <c r="AG69" s="12"/>
      <c r="AH69" s="12"/>
      <c r="AI69" s="12"/>
      <c r="AJ69" s="12"/>
      <c r="AK69" s="12"/>
      <c r="AL69" s="12"/>
      <c r="AM69" s="16"/>
    </row>
    <row r="70" spans="2:39" ht="25.05" customHeight="1">
      <c r="B70" s="15"/>
      <c r="C70" s="35"/>
      <c r="D70" s="23"/>
      <c r="E70" s="19" t="s">
        <v>435</v>
      </c>
      <c r="F70" s="9" t="s">
        <v>44</v>
      </c>
      <c r="G70" s="10">
        <v>0.10833333333333334</v>
      </c>
      <c r="H70" s="10">
        <v>0.11319444444444444</v>
      </c>
      <c r="I70" s="11">
        <f t="shared" si="4"/>
        <v>4.8611111111111077E-3</v>
      </c>
      <c r="J70" s="12">
        <v>4</v>
      </c>
      <c r="K70" s="12">
        <v>68.37</v>
      </c>
      <c r="L70" s="13">
        <f t="shared" si="5"/>
        <v>146.50714285714295</v>
      </c>
      <c r="M70" s="12"/>
      <c r="N70" s="12"/>
      <c r="O70" s="12"/>
      <c r="P70" s="12"/>
      <c r="Q70" s="12"/>
      <c r="R70" s="14"/>
      <c r="S70" s="14"/>
      <c r="T70" s="12"/>
      <c r="U70" s="12"/>
      <c r="V70" s="14"/>
      <c r="W70" s="14"/>
      <c r="X70" s="12"/>
      <c r="Y70" s="12"/>
      <c r="Z70" s="12"/>
      <c r="AA70" s="12"/>
      <c r="AB70" s="12"/>
      <c r="AC70" s="12">
        <v>7</v>
      </c>
      <c r="AD70" s="12"/>
      <c r="AE70" s="12"/>
      <c r="AF70" s="12"/>
      <c r="AG70" s="12"/>
      <c r="AH70" s="12"/>
      <c r="AI70" s="12"/>
      <c r="AJ70" s="12"/>
      <c r="AK70" s="12"/>
      <c r="AL70" s="12"/>
      <c r="AM70" s="16"/>
    </row>
    <row r="71" spans="2:39" ht="25.05" customHeight="1">
      <c r="B71" s="15"/>
      <c r="C71" s="35"/>
      <c r="D71" s="23"/>
      <c r="E71" s="19" t="s">
        <v>436</v>
      </c>
      <c r="F71" s="9" t="s">
        <v>44</v>
      </c>
      <c r="G71" s="10">
        <v>0.11666666666666667</v>
      </c>
      <c r="H71" s="10">
        <v>0.12152777777777778</v>
      </c>
      <c r="I71" s="11">
        <f t="shared" si="4"/>
        <v>4.8611111111111077E-3</v>
      </c>
      <c r="J71" s="12">
        <v>4</v>
      </c>
      <c r="K71" s="12">
        <v>68.37</v>
      </c>
      <c r="L71" s="13">
        <f t="shared" si="5"/>
        <v>146.50714285714295</v>
      </c>
      <c r="M71" s="12"/>
      <c r="N71" s="12"/>
      <c r="O71" s="12"/>
      <c r="P71" s="12"/>
      <c r="Q71" s="12"/>
      <c r="R71" s="14"/>
      <c r="S71" s="14"/>
      <c r="T71" s="12"/>
      <c r="U71" s="12"/>
      <c r="V71" s="14"/>
      <c r="W71" s="14"/>
      <c r="X71" s="12"/>
      <c r="Y71" s="12"/>
      <c r="Z71" s="12"/>
      <c r="AA71" s="12"/>
      <c r="AB71" s="12"/>
      <c r="AC71" s="12">
        <v>7</v>
      </c>
      <c r="AD71" s="12"/>
      <c r="AE71" s="12"/>
      <c r="AF71" s="12"/>
      <c r="AG71" s="12"/>
      <c r="AH71" s="12"/>
      <c r="AI71" s="12"/>
      <c r="AJ71" s="12"/>
      <c r="AK71" s="12"/>
      <c r="AL71" s="12"/>
      <c r="AM71" s="16"/>
    </row>
    <row r="72" spans="2:39" ht="25.05" customHeight="1">
      <c r="B72" s="15"/>
      <c r="C72" s="35"/>
      <c r="D72" s="23"/>
      <c r="E72" s="19" t="s">
        <v>437</v>
      </c>
      <c r="F72" s="9" t="s">
        <v>44</v>
      </c>
      <c r="G72" s="10">
        <v>0.125</v>
      </c>
      <c r="H72" s="10">
        <v>0.12986111111111112</v>
      </c>
      <c r="I72" s="11">
        <f t="shared" si="4"/>
        <v>4.8611111111111216E-3</v>
      </c>
      <c r="J72" s="12">
        <v>4</v>
      </c>
      <c r="K72" s="12">
        <v>68.37</v>
      </c>
      <c r="L72" s="13">
        <f t="shared" si="5"/>
        <v>146.50714285714255</v>
      </c>
      <c r="M72" s="12"/>
      <c r="N72" s="12"/>
      <c r="O72" s="12"/>
      <c r="P72" s="12"/>
      <c r="Q72" s="12"/>
      <c r="R72" s="14"/>
      <c r="S72" s="14"/>
      <c r="T72" s="12"/>
      <c r="U72" s="12"/>
      <c r="V72" s="14"/>
      <c r="W72" s="14"/>
      <c r="X72" s="12"/>
      <c r="Y72" s="12"/>
      <c r="Z72" s="12"/>
      <c r="AA72" s="12"/>
      <c r="AB72" s="12"/>
      <c r="AC72" s="12">
        <v>7</v>
      </c>
      <c r="AD72" s="12"/>
      <c r="AE72" s="12"/>
      <c r="AF72" s="12"/>
      <c r="AG72" s="12"/>
      <c r="AH72" s="12"/>
      <c r="AI72" s="12"/>
      <c r="AJ72" s="12"/>
      <c r="AK72" s="12"/>
      <c r="AL72" s="12"/>
      <c r="AM72" s="16"/>
    </row>
    <row r="73" spans="2:39" ht="25.05" customHeight="1">
      <c r="B73" s="15"/>
      <c r="C73" s="35"/>
      <c r="D73" s="23"/>
      <c r="E73" s="19" t="s">
        <v>438</v>
      </c>
      <c r="F73" s="9" t="s">
        <v>44</v>
      </c>
      <c r="G73" s="10">
        <v>0.13333333333333333</v>
      </c>
      <c r="H73" s="10">
        <v>0.13819444444444445</v>
      </c>
      <c r="I73" s="11">
        <f t="shared" si="4"/>
        <v>4.8611111111111216E-3</v>
      </c>
      <c r="J73" s="12">
        <v>4</v>
      </c>
      <c r="K73" s="12">
        <v>68.37</v>
      </c>
      <c r="L73" s="13">
        <f t="shared" si="5"/>
        <v>146.50714285714255</v>
      </c>
      <c r="M73" s="12"/>
      <c r="N73" s="12"/>
      <c r="O73" s="12"/>
      <c r="P73" s="12"/>
      <c r="Q73" s="12"/>
      <c r="R73" s="14"/>
      <c r="S73" s="14"/>
      <c r="T73" s="12"/>
      <c r="U73" s="12"/>
      <c r="V73" s="14"/>
      <c r="W73" s="14"/>
      <c r="X73" s="12"/>
      <c r="Y73" s="12"/>
      <c r="Z73" s="12"/>
      <c r="AA73" s="12"/>
      <c r="AB73" s="12"/>
      <c r="AC73" s="12">
        <v>7</v>
      </c>
      <c r="AD73" s="12"/>
      <c r="AE73" s="12"/>
      <c r="AF73" s="12"/>
      <c r="AG73" s="12"/>
      <c r="AH73" s="12"/>
      <c r="AI73" s="12"/>
      <c r="AJ73" s="12"/>
      <c r="AK73" s="12"/>
      <c r="AL73" s="12"/>
      <c r="AM73" s="16"/>
    </row>
    <row r="74" spans="2:39" ht="25.05" customHeight="1">
      <c r="B74" s="15"/>
      <c r="C74" s="35"/>
      <c r="D74" s="23"/>
      <c r="E74" s="19" t="s">
        <v>439</v>
      </c>
      <c r="F74" s="9" t="s">
        <v>44</v>
      </c>
      <c r="G74" s="10">
        <v>0.14166666666666666</v>
      </c>
      <c r="H74" s="10">
        <v>0.14652777777777778</v>
      </c>
      <c r="I74" s="11">
        <f t="shared" si="4"/>
        <v>4.8611111111111216E-3</v>
      </c>
      <c r="J74" s="12">
        <v>4</v>
      </c>
      <c r="K74" s="12">
        <v>68.37</v>
      </c>
      <c r="L74" s="13">
        <f t="shared" si="5"/>
        <v>146.50714285714255</v>
      </c>
      <c r="M74" s="12"/>
      <c r="N74" s="12"/>
      <c r="O74" s="12"/>
      <c r="P74" s="12"/>
      <c r="Q74" s="12"/>
      <c r="R74" s="14"/>
      <c r="S74" s="14"/>
      <c r="T74" s="12"/>
      <c r="U74" s="12"/>
      <c r="V74" s="14"/>
      <c r="W74" s="14"/>
      <c r="X74" s="12"/>
      <c r="Y74" s="12"/>
      <c r="Z74" s="12"/>
      <c r="AA74" s="12"/>
      <c r="AB74" s="12"/>
      <c r="AC74" s="12">
        <v>7</v>
      </c>
      <c r="AD74" s="12"/>
      <c r="AE74" s="12"/>
      <c r="AF74" s="12"/>
      <c r="AG74" s="12"/>
      <c r="AH74" s="12"/>
      <c r="AI74" s="12"/>
      <c r="AJ74" s="12"/>
      <c r="AK74" s="12"/>
      <c r="AL74" s="12"/>
      <c r="AM74" s="16"/>
    </row>
    <row r="75" spans="2:39" ht="25.05" customHeight="1">
      <c r="B75" s="15"/>
      <c r="C75" s="35"/>
      <c r="D75" s="23"/>
      <c r="E75" s="19" t="s">
        <v>333</v>
      </c>
      <c r="F75" s="9" t="s">
        <v>44</v>
      </c>
      <c r="G75" s="10">
        <v>0.96736111111111112</v>
      </c>
      <c r="H75" s="10">
        <v>0.97569444444444442</v>
      </c>
      <c r="I75" s="11">
        <f t="shared" si="4"/>
        <v>8.3333333333333037E-3</v>
      </c>
      <c r="J75" s="12">
        <v>3</v>
      </c>
      <c r="K75" s="12">
        <v>60.31</v>
      </c>
      <c r="L75" s="13">
        <f t="shared" si="5"/>
        <v>100.51666666666704</v>
      </c>
      <c r="M75" s="12"/>
      <c r="N75" s="12"/>
      <c r="O75" s="12"/>
      <c r="P75" s="12"/>
      <c r="Q75" s="12"/>
      <c r="R75" s="14"/>
      <c r="S75" s="14"/>
      <c r="T75" s="12"/>
      <c r="U75" s="12"/>
      <c r="V75" s="14"/>
      <c r="W75" s="14">
        <v>2</v>
      </c>
      <c r="X75" s="12">
        <v>12</v>
      </c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6"/>
    </row>
    <row r="76" spans="2:39" ht="25.05" customHeight="1">
      <c r="B76" s="15"/>
      <c r="C76" s="35"/>
      <c r="D76" s="23"/>
      <c r="E76" s="19" t="s">
        <v>334</v>
      </c>
      <c r="F76" s="9" t="s">
        <v>44</v>
      </c>
      <c r="G76" s="10">
        <v>0.96944444444444444</v>
      </c>
      <c r="H76" s="10">
        <v>0.97777777777777775</v>
      </c>
      <c r="I76" s="11">
        <f t="shared" si="4"/>
        <v>8.3333333333333037E-3</v>
      </c>
      <c r="J76" s="12">
        <v>3</v>
      </c>
      <c r="K76" s="12">
        <v>71.56</v>
      </c>
      <c r="L76" s="13">
        <f t="shared" si="5"/>
        <v>119.26666666666709</v>
      </c>
      <c r="M76" s="12"/>
      <c r="N76" s="12"/>
      <c r="O76" s="12"/>
      <c r="P76" s="12"/>
      <c r="Q76" s="12"/>
      <c r="R76" s="14"/>
      <c r="S76" s="14"/>
      <c r="T76" s="12"/>
      <c r="U76" s="12"/>
      <c r="V76" s="14"/>
      <c r="W76" s="14">
        <v>2</v>
      </c>
      <c r="X76" s="12"/>
      <c r="Y76" s="12">
        <v>12</v>
      </c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6"/>
    </row>
    <row r="77" spans="2:39" ht="25.05" customHeight="1">
      <c r="B77" s="15"/>
      <c r="C77" s="35"/>
      <c r="D77" s="23"/>
      <c r="E77" s="19" t="s">
        <v>335</v>
      </c>
      <c r="F77" s="9" t="s">
        <v>44</v>
      </c>
      <c r="G77" s="10">
        <v>0.97083333333333333</v>
      </c>
      <c r="H77" s="10">
        <v>0.97916666666666663</v>
      </c>
      <c r="I77" s="11">
        <f t="shared" si="4"/>
        <v>8.3333333333333037E-3</v>
      </c>
      <c r="J77" s="12">
        <v>3</v>
      </c>
      <c r="K77" s="12">
        <v>60.26</v>
      </c>
      <c r="L77" s="13">
        <f t="shared" si="5"/>
        <v>100.43333333333368</v>
      </c>
      <c r="M77" s="12"/>
      <c r="N77" s="12"/>
      <c r="O77" s="12"/>
      <c r="P77" s="12"/>
      <c r="Q77" s="12"/>
      <c r="R77" s="14"/>
      <c r="S77" s="14"/>
      <c r="T77" s="12"/>
      <c r="U77" s="12"/>
      <c r="V77" s="14"/>
      <c r="W77" s="14">
        <v>2</v>
      </c>
      <c r="X77" s="12"/>
      <c r="Y77" s="12"/>
      <c r="Z77" s="12">
        <v>12</v>
      </c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6"/>
    </row>
    <row r="78" spans="2:39" ht="25.05" customHeight="1">
      <c r="B78" s="15"/>
      <c r="C78" s="35"/>
      <c r="D78" s="23"/>
      <c r="E78" s="19" t="s">
        <v>336</v>
      </c>
      <c r="F78" s="9" t="s">
        <v>44</v>
      </c>
      <c r="G78" s="10">
        <v>0.97222222222222221</v>
      </c>
      <c r="H78" s="10">
        <v>0.98055555555555551</v>
      </c>
      <c r="I78" s="11">
        <f t="shared" si="4"/>
        <v>8.3333333333333037E-3</v>
      </c>
      <c r="J78" s="12">
        <v>3</v>
      </c>
      <c r="K78" s="12">
        <v>72.73</v>
      </c>
      <c r="L78" s="13">
        <f t="shared" si="5"/>
        <v>121.21666666666709</v>
      </c>
      <c r="M78" s="12"/>
      <c r="N78" s="12"/>
      <c r="O78" s="12"/>
      <c r="P78" s="12"/>
      <c r="Q78" s="12"/>
      <c r="R78" s="14"/>
      <c r="S78" s="14"/>
      <c r="T78" s="12"/>
      <c r="U78" s="12"/>
      <c r="V78" s="14"/>
      <c r="W78" s="14">
        <v>2</v>
      </c>
      <c r="X78" s="12"/>
      <c r="Y78" s="12"/>
      <c r="Z78" s="12"/>
      <c r="AA78" s="12">
        <v>12</v>
      </c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6"/>
    </row>
    <row r="79" spans="2:39" ht="25.05" customHeight="1">
      <c r="B79" s="15"/>
      <c r="C79" s="35"/>
      <c r="D79" s="23"/>
      <c r="E79" s="19" t="s">
        <v>337</v>
      </c>
      <c r="F79" s="9" t="s">
        <v>44</v>
      </c>
      <c r="G79" s="10">
        <v>0.98124999999999996</v>
      </c>
      <c r="H79" s="10">
        <v>0.98958333333333337</v>
      </c>
      <c r="I79" s="11">
        <f t="shared" si="4"/>
        <v>8.3333333333334147E-3</v>
      </c>
      <c r="J79" s="12">
        <v>3</v>
      </c>
      <c r="K79" s="12">
        <v>78.06</v>
      </c>
      <c r="L79" s="13">
        <f t="shared" si="5"/>
        <v>130.09999999999874</v>
      </c>
      <c r="M79" s="12"/>
      <c r="N79" s="12"/>
      <c r="O79" s="12"/>
      <c r="P79" s="12"/>
      <c r="Q79" s="12"/>
      <c r="R79" s="14"/>
      <c r="S79" s="14"/>
      <c r="T79" s="12"/>
      <c r="U79" s="12"/>
      <c r="V79" s="14"/>
      <c r="W79" s="14">
        <v>2</v>
      </c>
      <c r="X79" s="12">
        <v>12</v>
      </c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6"/>
    </row>
    <row r="80" spans="2:39" ht="25.05" customHeight="1">
      <c r="B80" s="15"/>
      <c r="C80" s="35"/>
      <c r="D80" s="23"/>
      <c r="E80" s="19" t="s">
        <v>338</v>
      </c>
      <c r="F80" s="9" t="s">
        <v>44</v>
      </c>
      <c r="G80" s="10">
        <v>0.98402777777777772</v>
      </c>
      <c r="H80" s="10">
        <v>0.99236111111111114</v>
      </c>
      <c r="I80" s="11">
        <f t="shared" si="4"/>
        <v>8.3333333333334147E-3</v>
      </c>
      <c r="J80" s="12">
        <v>3</v>
      </c>
      <c r="K80" s="12">
        <v>62.74</v>
      </c>
      <c r="L80" s="13">
        <f t="shared" si="5"/>
        <v>104.56666666666564</v>
      </c>
      <c r="M80" s="12"/>
      <c r="N80" s="12"/>
      <c r="O80" s="12"/>
      <c r="P80" s="12"/>
      <c r="Q80" s="12"/>
      <c r="R80" s="14"/>
      <c r="S80" s="14"/>
      <c r="T80" s="12"/>
      <c r="U80" s="12"/>
      <c r="V80" s="14"/>
      <c r="W80" s="14">
        <v>2</v>
      </c>
      <c r="X80" s="12"/>
      <c r="Y80" s="12">
        <v>12</v>
      </c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6"/>
    </row>
    <row r="81" spans="2:39" ht="25.05" customHeight="1">
      <c r="B81" s="15"/>
      <c r="C81" s="35"/>
      <c r="D81" s="23"/>
      <c r="E81" s="19" t="s">
        <v>339</v>
      </c>
      <c r="F81" s="9" t="s">
        <v>44</v>
      </c>
      <c r="G81" s="10">
        <v>0.98958333333333337</v>
      </c>
      <c r="H81" s="10">
        <v>0.99791666666666667</v>
      </c>
      <c r="I81" s="11">
        <f t="shared" ref="I81:I100" si="6">H81-G81</f>
        <v>8.3333333333333037E-3</v>
      </c>
      <c r="J81" s="12">
        <v>3</v>
      </c>
      <c r="K81" s="12">
        <v>74.44</v>
      </c>
      <c r="L81" s="13">
        <f t="shared" si="5"/>
        <v>124.0666666666671</v>
      </c>
      <c r="M81" s="12"/>
      <c r="N81" s="12"/>
      <c r="O81" s="12"/>
      <c r="P81" s="12"/>
      <c r="Q81" s="12"/>
      <c r="R81" s="14"/>
      <c r="S81" s="14"/>
      <c r="T81" s="12"/>
      <c r="U81" s="12"/>
      <c r="V81" s="14"/>
      <c r="W81" s="14">
        <v>2</v>
      </c>
      <c r="X81" s="12"/>
      <c r="Y81" s="12"/>
      <c r="Z81" s="12">
        <v>12</v>
      </c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6"/>
    </row>
    <row r="82" spans="2:39" ht="25.05" customHeight="1">
      <c r="B82" s="15"/>
      <c r="C82" s="35"/>
      <c r="D82" s="23"/>
      <c r="E82" s="19" t="s">
        <v>340</v>
      </c>
      <c r="F82" s="9" t="s">
        <v>44</v>
      </c>
      <c r="G82" s="10">
        <v>46105.991666666669</v>
      </c>
      <c r="H82" s="10">
        <v>46106</v>
      </c>
      <c r="I82" s="11">
        <f t="shared" si="6"/>
        <v>8.333333331393078E-3</v>
      </c>
      <c r="J82" s="12">
        <v>3</v>
      </c>
      <c r="K82" s="12">
        <v>61.58</v>
      </c>
      <c r="L82" s="13">
        <f t="shared" ref="L82:L101" si="7">IFERROR(((K82/(J82*I82)/24)),"0")</f>
        <v>102.63333335722952</v>
      </c>
      <c r="M82" s="12"/>
      <c r="N82" s="12"/>
      <c r="O82" s="12"/>
      <c r="P82" s="12"/>
      <c r="Q82" s="12"/>
      <c r="R82" s="14"/>
      <c r="S82" s="14"/>
      <c r="T82" s="12"/>
      <c r="U82" s="12"/>
      <c r="V82" s="14"/>
      <c r="W82" s="14">
        <v>2</v>
      </c>
      <c r="X82" s="12"/>
      <c r="Y82" s="12"/>
      <c r="Z82" s="12"/>
      <c r="AA82" s="12">
        <v>12</v>
      </c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6"/>
    </row>
    <row r="83" spans="2:39" ht="25.05" customHeight="1">
      <c r="B83" s="15"/>
      <c r="C83" s="35"/>
      <c r="D83" s="23"/>
      <c r="E83" s="19" t="s">
        <v>341</v>
      </c>
      <c r="F83" s="9" t="s">
        <v>44</v>
      </c>
      <c r="G83" s="10">
        <v>0</v>
      </c>
      <c r="H83" s="10">
        <v>8.3333333333333332E-3</v>
      </c>
      <c r="I83" s="11">
        <f t="shared" si="6"/>
        <v>8.3333333333333332E-3</v>
      </c>
      <c r="J83" s="12">
        <v>3</v>
      </c>
      <c r="K83" s="12">
        <v>75.94</v>
      </c>
      <c r="L83" s="13">
        <f t="shared" si="7"/>
        <v>126.56666666666666</v>
      </c>
      <c r="M83" s="12"/>
      <c r="N83" s="12"/>
      <c r="O83" s="12"/>
      <c r="P83" s="12"/>
      <c r="Q83" s="12"/>
      <c r="R83" s="14"/>
      <c r="S83" s="14"/>
      <c r="T83" s="12"/>
      <c r="U83" s="12"/>
      <c r="V83" s="14"/>
      <c r="W83" s="14">
        <v>2</v>
      </c>
      <c r="X83" s="12">
        <v>12</v>
      </c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6"/>
    </row>
    <row r="84" spans="2:39" ht="25.05" customHeight="1">
      <c r="B84" s="15"/>
      <c r="C84" s="35"/>
      <c r="D84" s="23"/>
      <c r="E84" s="19" t="s">
        <v>342</v>
      </c>
      <c r="F84" s="9" t="s">
        <v>44</v>
      </c>
      <c r="G84" s="10">
        <v>2.7777777777777779E-3</v>
      </c>
      <c r="H84" s="10">
        <v>1.1111111111111112E-2</v>
      </c>
      <c r="I84" s="11">
        <f t="shared" si="6"/>
        <v>8.3333333333333332E-3</v>
      </c>
      <c r="J84" s="12">
        <v>3</v>
      </c>
      <c r="K84" s="12">
        <v>63.08</v>
      </c>
      <c r="L84" s="13">
        <f t="shared" si="7"/>
        <v>105.13333333333333</v>
      </c>
      <c r="M84" s="12"/>
      <c r="N84" s="12"/>
      <c r="O84" s="12"/>
      <c r="P84" s="12"/>
      <c r="Q84" s="12"/>
      <c r="R84" s="14"/>
      <c r="S84" s="14"/>
      <c r="T84" s="12"/>
      <c r="U84" s="12"/>
      <c r="V84" s="14"/>
      <c r="W84" s="14">
        <v>2</v>
      </c>
      <c r="X84" s="12"/>
      <c r="Y84" s="12">
        <v>12</v>
      </c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6"/>
    </row>
    <row r="85" spans="2:39" ht="25.05" customHeight="1">
      <c r="B85" s="15"/>
      <c r="C85" s="35"/>
      <c r="D85" s="23"/>
      <c r="E85" s="19" t="s">
        <v>440</v>
      </c>
      <c r="F85" s="9" t="s">
        <v>44</v>
      </c>
      <c r="G85" s="10">
        <v>5.5555555555555558E-3</v>
      </c>
      <c r="H85" s="10">
        <v>1.3888888888888888E-2</v>
      </c>
      <c r="I85" s="11">
        <f t="shared" si="6"/>
        <v>8.3333333333333315E-3</v>
      </c>
      <c r="J85" s="12">
        <v>3</v>
      </c>
      <c r="K85" s="12">
        <v>79.040000000000006</v>
      </c>
      <c r="L85" s="13">
        <f t="shared" si="7"/>
        <v>131.73333333333338</v>
      </c>
      <c r="M85" s="12"/>
      <c r="N85" s="12"/>
      <c r="O85" s="12"/>
      <c r="P85" s="12"/>
      <c r="Q85" s="12"/>
      <c r="R85" s="14"/>
      <c r="S85" s="14"/>
      <c r="T85" s="12"/>
      <c r="U85" s="12"/>
      <c r="V85" s="14"/>
      <c r="W85" s="14">
        <v>2</v>
      </c>
      <c r="X85" s="12"/>
      <c r="Y85" s="12"/>
      <c r="Z85" s="12">
        <v>12</v>
      </c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6"/>
    </row>
    <row r="86" spans="2:39" ht="25.05" customHeight="1">
      <c r="B86" s="15"/>
      <c r="C86" s="35"/>
      <c r="D86" s="23"/>
      <c r="E86" s="19" t="s">
        <v>441</v>
      </c>
      <c r="F86" s="9" t="s">
        <v>44</v>
      </c>
      <c r="G86" s="10">
        <v>8.3333333333333332E-3</v>
      </c>
      <c r="H86" s="10">
        <v>1.6666666666666666E-2</v>
      </c>
      <c r="I86" s="11">
        <f t="shared" si="6"/>
        <v>8.3333333333333332E-3</v>
      </c>
      <c r="J86" s="12">
        <v>3</v>
      </c>
      <c r="K86" s="12">
        <v>60.04</v>
      </c>
      <c r="L86" s="13">
        <f t="shared" si="7"/>
        <v>100.06666666666666</v>
      </c>
      <c r="M86" s="12"/>
      <c r="N86" s="12"/>
      <c r="O86" s="12"/>
      <c r="P86" s="12"/>
      <c r="Q86" s="12"/>
      <c r="R86" s="14"/>
      <c r="S86" s="14"/>
      <c r="T86" s="12"/>
      <c r="U86" s="12"/>
      <c r="V86" s="14"/>
      <c r="W86" s="14">
        <v>2</v>
      </c>
      <c r="X86" s="12"/>
      <c r="Y86" s="12"/>
      <c r="Z86" s="12"/>
      <c r="AA86" s="12">
        <v>12</v>
      </c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6"/>
    </row>
    <row r="87" spans="2:39" ht="25.05" customHeight="1">
      <c r="B87" s="15"/>
      <c r="C87" s="35"/>
      <c r="D87" s="23"/>
      <c r="E87" s="19" t="s">
        <v>442</v>
      </c>
      <c r="F87" s="9" t="s">
        <v>44</v>
      </c>
      <c r="G87" s="10">
        <v>9.7222222222222224E-2</v>
      </c>
      <c r="H87" s="10">
        <v>0.10555555555555556</v>
      </c>
      <c r="I87" s="11">
        <f t="shared" si="6"/>
        <v>8.3333333333333315E-3</v>
      </c>
      <c r="J87" s="12">
        <v>3</v>
      </c>
      <c r="K87" s="12">
        <v>73.900000000000006</v>
      </c>
      <c r="L87" s="13">
        <f t="shared" si="7"/>
        <v>123.1666666666667</v>
      </c>
      <c r="M87" s="12"/>
      <c r="N87" s="12"/>
      <c r="O87" s="12"/>
      <c r="P87" s="12"/>
      <c r="Q87" s="12"/>
      <c r="R87" s="14"/>
      <c r="S87" s="14"/>
      <c r="T87" s="12"/>
      <c r="U87" s="12"/>
      <c r="V87" s="14"/>
      <c r="W87" s="14">
        <v>2</v>
      </c>
      <c r="X87" s="12">
        <v>12</v>
      </c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6"/>
    </row>
    <row r="88" spans="2:39" ht="25.05" customHeight="1">
      <c r="B88" s="15"/>
      <c r="C88" s="35"/>
      <c r="D88" s="23"/>
      <c r="E88" s="19" t="s">
        <v>443</v>
      </c>
      <c r="F88" s="9" t="s">
        <v>44</v>
      </c>
      <c r="G88" s="10">
        <v>0.1</v>
      </c>
      <c r="H88" s="10">
        <v>0.10833333333333334</v>
      </c>
      <c r="I88" s="11">
        <f t="shared" si="6"/>
        <v>8.3333333333333315E-3</v>
      </c>
      <c r="J88" s="12">
        <v>3</v>
      </c>
      <c r="K88" s="12">
        <v>71.59</v>
      </c>
      <c r="L88" s="13">
        <f t="shared" si="7"/>
        <v>119.31666666666671</v>
      </c>
      <c r="M88" s="12"/>
      <c r="N88" s="12"/>
      <c r="O88" s="12"/>
      <c r="P88" s="12"/>
      <c r="Q88" s="12"/>
      <c r="R88" s="14"/>
      <c r="S88" s="14"/>
      <c r="T88" s="12"/>
      <c r="U88" s="12"/>
      <c r="V88" s="14"/>
      <c r="W88" s="14">
        <v>2</v>
      </c>
      <c r="X88" s="12"/>
      <c r="Y88" s="12">
        <v>12</v>
      </c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6"/>
    </row>
    <row r="89" spans="2:39" ht="25.05" customHeight="1">
      <c r="B89" s="15"/>
      <c r="C89" s="35"/>
      <c r="D89" s="23"/>
      <c r="E89" s="19" t="s">
        <v>444</v>
      </c>
      <c r="F89" s="9" t="s">
        <v>44</v>
      </c>
      <c r="G89" s="10">
        <v>0.10902777777777778</v>
      </c>
      <c r="H89" s="10">
        <v>0.11736111111111111</v>
      </c>
      <c r="I89" s="11">
        <f t="shared" si="6"/>
        <v>8.3333333333333315E-3</v>
      </c>
      <c r="J89" s="12">
        <v>3</v>
      </c>
      <c r="K89" s="12">
        <v>74.44</v>
      </c>
      <c r="L89" s="13">
        <f t="shared" si="7"/>
        <v>124.06666666666668</v>
      </c>
      <c r="M89" s="12"/>
      <c r="N89" s="12"/>
      <c r="O89" s="12"/>
      <c r="P89" s="12"/>
      <c r="Q89" s="12"/>
      <c r="R89" s="14"/>
      <c r="S89" s="14"/>
      <c r="T89" s="12"/>
      <c r="U89" s="12"/>
      <c r="V89" s="14"/>
      <c r="W89" s="14">
        <v>2</v>
      </c>
      <c r="X89" s="12">
        <v>12</v>
      </c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6"/>
    </row>
    <row r="90" spans="2:39" ht="25.05" customHeight="1">
      <c r="B90" s="15"/>
      <c r="C90" s="35"/>
      <c r="D90" s="23"/>
      <c r="E90" s="19" t="s">
        <v>445</v>
      </c>
      <c r="F90" s="9" t="s">
        <v>44</v>
      </c>
      <c r="G90" s="10">
        <v>0.1125</v>
      </c>
      <c r="H90" s="10">
        <v>0.12083333333333333</v>
      </c>
      <c r="I90" s="11">
        <f t="shared" si="6"/>
        <v>8.3333333333333315E-3</v>
      </c>
      <c r="J90" s="12">
        <v>3</v>
      </c>
      <c r="K90" s="12">
        <v>74.069999999999993</v>
      </c>
      <c r="L90" s="13">
        <f t="shared" si="7"/>
        <v>123.45</v>
      </c>
      <c r="M90" s="12"/>
      <c r="N90" s="12"/>
      <c r="O90" s="12"/>
      <c r="P90" s="12"/>
      <c r="Q90" s="12"/>
      <c r="R90" s="14"/>
      <c r="S90" s="14"/>
      <c r="T90" s="12"/>
      <c r="U90" s="12"/>
      <c r="V90" s="14"/>
      <c r="W90" s="14">
        <v>2</v>
      </c>
      <c r="X90" s="12"/>
      <c r="Y90" s="12">
        <v>12</v>
      </c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6"/>
    </row>
    <row r="91" spans="2:39" ht="25.05" customHeight="1">
      <c r="B91" s="15"/>
      <c r="C91" s="35"/>
      <c r="D91" s="23"/>
      <c r="E91" s="19" t="s">
        <v>446</v>
      </c>
      <c r="F91" s="9" t="s">
        <v>44</v>
      </c>
      <c r="G91" s="10">
        <v>0.12222222222222222</v>
      </c>
      <c r="H91" s="10">
        <v>0.13055555555555556</v>
      </c>
      <c r="I91" s="11">
        <f t="shared" si="6"/>
        <v>8.3333333333333454E-3</v>
      </c>
      <c r="J91" s="12">
        <v>3</v>
      </c>
      <c r="K91" s="12">
        <v>74.2</v>
      </c>
      <c r="L91" s="13">
        <f t="shared" si="7"/>
        <v>123.6666666666665</v>
      </c>
      <c r="M91" s="12"/>
      <c r="N91" s="12"/>
      <c r="O91" s="12"/>
      <c r="P91" s="12"/>
      <c r="Q91" s="12"/>
      <c r="R91" s="14"/>
      <c r="S91" s="14"/>
      <c r="T91" s="12"/>
      <c r="U91" s="12"/>
      <c r="V91" s="14"/>
      <c r="W91" s="14">
        <v>2</v>
      </c>
      <c r="X91" s="12">
        <v>12</v>
      </c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6"/>
    </row>
    <row r="92" spans="2:39" ht="25.05" customHeight="1">
      <c r="B92" s="15"/>
      <c r="C92" s="35"/>
      <c r="D92" s="23"/>
      <c r="E92" s="19" t="s">
        <v>447</v>
      </c>
      <c r="F92" s="9" t="s">
        <v>44</v>
      </c>
      <c r="G92" s="10">
        <v>0.12638888888888888</v>
      </c>
      <c r="H92" s="10">
        <v>0.13472222222222222</v>
      </c>
      <c r="I92" s="11">
        <f t="shared" si="6"/>
        <v>8.3333333333333315E-3</v>
      </c>
      <c r="J92" s="12">
        <v>3</v>
      </c>
      <c r="K92" s="12">
        <v>75.599999999999994</v>
      </c>
      <c r="L92" s="13">
        <f t="shared" si="7"/>
        <v>126.00000000000001</v>
      </c>
      <c r="M92" s="12"/>
      <c r="N92" s="12"/>
      <c r="O92" s="12"/>
      <c r="P92" s="12"/>
      <c r="Q92" s="12"/>
      <c r="R92" s="14"/>
      <c r="S92" s="14"/>
      <c r="T92" s="12"/>
      <c r="U92" s="12"/>
      <c r="V92" s="14"/>
      <c r="W92" s="14">
        <v>2</v>
      </c>
      <c r="X92" s="12"/>
      <c r="Y92" s="12">
        <v>12</v>
      </c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6"/>
    </row>
    <row r="93" spans="2:39" ht="25.05" customHeight="1">
      <c r="B93" s="15"/>
      <c r="C93" s="35"/>
      <c r="D93" s="23"/>
      <c r="E93" s="19" t="s">
        <v>448</v>
      </c>
      <c r="F93" s="9" t="s">
        <v>44</v>
      </c>
      <c r="G93" s="10">
        <v>0.1361111111111111</v>
      </c>
      <c r="H93" s="10">
        <v>0.14444444444444443</v>
      </c>
      <c r="I93" s="11">
        <f t="shared" si="6"/>
        <v>8.3333333333333315E-3</v>
      </c>
      <c r="J93" s="12">
        <v>3</v>
      </c>
      <c r="K93" s="12">
        <v>74.86</v>
      </c>
      <c r="L93" s="13">
        <f t="shared" si="7"/>
        <v>124.76666666666669</v>
      </c>
      <c r="M93" s="12"/>
      <c r="N93" s="12"/>
      <c r="O93" s="12"/>
      <c r="P93" s="12"/>
      <c r="Q93" s="12"/>
      <c r="R93" s="14"/>
      <c r="S93" s="14"/>
      <c r="T93" s="12"/>
      <c r="U93" s="12"/>
      <c r="V93" s="14"/>
      <c r="W93" s="14">
        <v>2</v>
      </c>
      <c r="X93" s="12">
        <v>12</v>
      </c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6"/>
    </row>
    <row r="94" spans="2:39" ht="25.05" customHeight="1">
      <c r="B94" s="15"/>
      <c r="C94" s="35"/>
      <c r="D94" s="23"/>
      <c r="E94" s="19" t="s">
        <v>449</v>
      </c>
      <c r="F94" s="9" t="s">
        <v>44</v>
      </c>
      <c r="G94" s="10">
        <v>0.1388888888888889</v>
      </c>
      <c r="H94" s="10">
        <v>0.14722222222222223</v>
      </c>
      <c r="I94" s="11">
        <f t="shared" si="6"/>
        <v>8.3333333333333315E-3</v>
      </c>
      <c r="J94" s="12">
        <v>3</v>
      </c>
      <c r="K94" s="12">
        <v>71.510000000000005</v>
      </c>
      <c r="L94" s="13">
        <f t="shared" si="7"/>
        <v>119.18333333333338</v>
      </c>
      <c r="M94" s="12"/>
      <c r="N94" s="12"/>
      <c r="O94" s="12"/>
      <c r="P94" s="12"/>
      <c r="Q94" s="12"/>
      <c r="R94" s="14"/>
      <c r="S94" s="14"/>
      <c r="T94" s="12"/>
      <c r="U94" s="12"/>
      <c r="V94" s="14"/>
      <c r="W94" s="14">
        <v>2</v>
      </c>
      <c r="X94" s="12"/>
      <c r="Y94" s="12">
        <v>12</v>
      </c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6"/>
    </row>
    <row r="95" spans="2:39" ht="25.05" customHeight="1">
      <c r="B95" s="15"/>
      <c r="C95" s="35"/>
      <c r="D95" s="23"/>
      <c r="E95" s="19" t="s">
        <v>450</v>
      </c>
      <c r="F95" s="9" t="s">
        <v>44</v>
      </c>
      <c r="G95" s="10">
        <v>0.14930555555555555</v>
      </c>
      <c r="H95" s="10">
        <v>0.15763888888888888</v>
      </c>
      <c r="I95" s="11">
        <f t="shared" si="6"/>
        <v>8.3333333333333315E-3</v>
      </c>
      <c r="J95" s="12">
        <v>3</v>
      </c>
      <c r="K95" s="12">
        <v>74.55</v>
      </c>
      <c r="L95" s="13">
        <f t="shared" si="7"/>
        <v>124.25000000000001</v>
      </c>
      <c r="M95" s="12"/>
      <c r="N95" s="12"/>
      <c r="O95" s="12"/>
      <c r="P95" s="12"/>
      <c r="Q95" s="12"/>
      <c r="R95" s="14"/>
      <c r="S95" s="14"/>
      <c r="T95" s="12"/>
      <c r="U95" s="12"/>
      <c r="V95" s="14"/>
      <c r="W95" s="14">
        <v>2</v>
      </c>
      <c r="X95" s="12">
        <v>12</v>
      </c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6"/>
    </row>
    <row r="96" spans="2:39" ht="25.05" customHeight="1">
      <c r="B96" s="15"/>
      <c r="C96" s="35"/>
      <c r="D96" s="23"/>
      <c r="E96" s="19" t="s">
        <v>451</v>
      </c>
      <c r="F96" s="9" t="s">
        <v>44</v>
      </c>
      <c r="G96" s="10">
        <v>0.15277777777777779</v>
      </c>
      <c r="H96" s="10">
        <v>0.16111111111111112</v>
      </c>
      <c r="I96" s="11">
        <f t="shared" si="6"/>
        <v>8.3333333333333315E-3</v>
      </c>
      <c r="J96" s="12">
        <v>3</v>
      </c>
      <c r="K96" s="12">
        <v>73.98</v>
      </c>
      <c r="L96" s="13">
        <f t="shared" si="7"/>
        <v>123.30000000000003</v>
      </c>
      <c r="M96" s="12"/>
      <c r="N96" s="12"/>
      <c r="O96" s="12"/>
      <c r="P96" s="12"/>
      <c r="Q96" s="12"/>
      <c r="R96" s="14"/>
      <c r="S96" s="14"/>
      <c r="T96" s="12"/>
      <c r="U96" s="12"/>
      <c r="V96" s="14"/>
      <c r="W96" s="14">
        <v>2</v>
      </c>
      <c r="X96" s="12"/>
      <c r="Y96" s="12">
        <v>12</v>
      </c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6"/>
    </row>
    <row r="97" spans="1:39" ht="25.05" customHeight="1">
      <c r="B97" s="15"/>
      <c r="C97" s="35"/>
      <c r="D97" s="23"/>
      <c r="E97" s="19" t="s">
        <v>452</v>
      </c>
      <c r="F97" s="9" t="s">
        <v>44</v>
      </c>
      <c r="G97" s="10">
        <v>0.16111111111111112</v>
      </c>
      <c r="H97" s="10">
        <v>0.16944444444444445</v>
      </c>
      <c r="I97" s="11">
        <f t="shared" si="6"/>
        <v>8.3333333333333315E-3</v>
      </c>
      <c r="J97" s="12">
        <v>3</v>
      </c>
      <c r="K97" s="12">
        <v>79.72</v>
      </c>
      <c r="L97" s="13">
        <f t="shared" si="7"/>
        <v>132.8666666666667</v>
      </c>
      <c r="M97" s="12"/>
      <c r="N97" s="12"/>
      <c r="O97" s="12"/>
      <c r="P97" s="12"/>
      <c r="Q97" s="12"/>
      <c r="R97" s="14"/>
      <c r="S97" s="14"/>
      <c r="T97" s="12"/>
      <c r="U97" s="12"/>
      <c r="V97" s="14"/>
      <c r="W97" s="14">
        <v>2</v>
      </c>
      <c r="X97" s="12">
        <v>12</v>
      </c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6"/>
    </row>
    <row r="98" spans="1:39" ht="25.05" customHeight="1">
      <c r="B98" s="15"/>
      <c r="C98" s="35"/>
      <c r="D98" s="23"/>
      <c r="E98" s="19"/>
      <c r="F98" s="9" t="s">
        <v>44</v>
      </c>
      <c r="G98" s="10"/>
      <c r="H98" s="10"/>
      <c r="I98" s="11">
        <f t="shared" si="6"/>
        <v>0</v>
      </c>
      <c r="J98" s="12"/>
      <c r="K98" s="12"/>
      <c r="L98" s="13" t="str">
        <f t="shared" si="7"/>
        <v>0</v>
      </c>
      <c r="M98" s="12"/>
      <c r="N98" s="12"/>
      <c r="O98" s="12"/>
      <c r="P98" s="12"/>
      <c r="Q98" s="12"/>
      <c r="R98" s="14"/>
      <c r="S98" s="14"/>
      <c r="T98" s="12"/>
      <c r="U98" s="12"/>
      <c r="V98" s="14"/>
      <c r="W98" s="14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6"/>
    </row>
    <row r="99" spans="1:39" ht="25.05" customHeight="1">
      <c r="B99" s="15"/>
      <c r="C99" s="35"/>
      <c r="D99" s="23" t="s">
        <v>398</v>
      </c>
      <c r="E99" s="19" t="s">
        <v>453</v>
      </c>
      <c r="F99" s="9" t="s">
        <v>44</v>
      </c>
      <c r="G99" s="10">
        <v>0.23125000000000001</v>
      </c>
      <c r="H99" s="10">
        <v>0.24027777777777778</v>
      </c>
      <c r="I99" s="11">
        <f t="shared" si="6"/>
        <v>9.0277777777777735E-3</v>
      </c>
      <c r="J99" s="12">
        <v>4</v>
      </c>
      <c r="K99" s="12">
        <v>58.06</v>
      </c>
      <c r="L99" s="13">
        <f t="shared" si="7"/>
        <v>66.992307692307733</v>
      </c>
      <c r="M99" s="12"/>
      <c r="N99" s="12"/>
      <c r="O99" s="12"/>
      <c r="P99" s="12"/>
      <c r="Q99" s="12"/>
      <c r="R99" s="14"/>
      <c r="S99" s="14"/>
      <c r="T99" s="12"/>
      <c r="U99" s="12"/>
      <c r="V99" s="14"/>
      <c r="W99" s="14"/>
      <c r="X99" s="12"/>
      <c r="Y99" s="12"/>
      <c r="Z99" s="12"/>
      <c r="AA99" s="12">
        <v>13</v>
      </c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6"/>
    </row>
    <row r="100" spans="1:39" ht="25.05" customHeight="1">
      <c r="B100" s="15"/>
      <c r="C100" s="35"/>
      <c r="D100" s="23"/>
      <c r="E100" s="19"/>
      <c r="F100" s="9" t="s">
        <v>44</v>
      </c>
      <c r="G100" s="10"/>
      <c r="H100" s="10"/>
      <c r="I100" s="11">
        <f t="shared" si="6"/>
        <v>0</v>
      </c>
      <c r="J100" s="12"/>
      <c r="K100" s="12"/>
      <c r="L100" s="13" t="str">
        <f t="shared" si="7"/>
        <v>0</v>
      </c>
      <c r="M100" s="12"/>
      <c r="N100" s="12"/>
      <c r="O100" s="12"/>
      <c r="P100" s="12"/>
      <c r="Q100" s="12"/>
      <c r="R100" s="14"/>
      <c r="S100" s="14"/>
      <c r="T100" s="12"/>
      <c r="U100" s="12"/>
      <c r="V100" s="14"/>
      <c r="W100" s="14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6"/>
    </row>
    <row r="101" spans="1:39" ht="25.05" customHeight="1">
      <c r="B101" s="15"/>
      <c r="C101" s="35"/>
      <c r="D101" s="23"/>
      <c r="E101" s="19"/>
      <c r="F101" s="9" t="s">
        <v>44</v>
      </c>
      <c r="G101" s="10"/>
      <c r="H101" s="10"/>
      <c r="I101" s="11">
        <v>4</v>
      </c>
      <c r="J101" s="12"/>
      <c r="K101" s="12"/>
      <c r="L101" s="13" t="str">
        <f t="shared" si="7"/>
        <v>0</v>
      </c>
      <c r="M101" s="12"/>
      <c r="N101" s="12"/>
      <c r="O101" s="12"/>
      <c r="P101" s="12"/>
      <c r="Q101" s="12"/>
      <c r="R101" s="14"/>
      <c r="S101" s="14"/>
      <c r="T101" s="12"/>
      <c r="U101" s="12"/>
      <c r="V101" s="14"/>
      <c r="W101" s="14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6"/>
    </row>
    <row r="102" spans="1:39" s="34" customFormat="1" ht="25.5" customHeight="1" thickBot="1">
      <c r="A102" s="1"/>
      <c r="B102" s="59"/>
      <c r="C102" s="60"/>
      <c r="D102" s="61"/>
      <c r="E102" s="62"/>
      <c r="F102" s="62"/>
      <c r="G102" s="63"/>
      <c r="H102" s="63"/>
      <c r="I102" s="64"/>
      <c r="J102" s="65"/>
      <c r="K102" s="65">
        <f t="shared" ref="K102:AD102" si="8">SUM(K17:K101)</f>
        <v>6828.8799999999965</v>
      </c>
      <c r="L102" s="33">
        <f t="shared" si="8"/>
        <v>9084.818114355543</v>
      </c>
      <c r="M102" s="65">
        <f t="shared" si="8"/>
        <v>0</v>
      </c>
      <c r="N102" s="65">
        <f t="shared" si="8"/>
        <v>0</v>
      </c>
      <c r="O102" s="65">
        <f t="shared" si="8"/>
        <v>0</v>
      </c>
      <c r="P102" s="65">
        <f t="shared" si="8"/>
        <v>0</v>
      </c>
      <c r="Q102" s="65">
        <f t="shared" si="8"/>
        <v>0</v>
      </c>
      <c r="R102" s="65">
        <f t="shared" si="8"/>
        <v>0</v>
      </c>
      <c r="S102" s="65">
        <f t="shared" si="8"/>
        <v>0</v>
      </c>
      <c r="T102" s="65">
        <f t="shared" si="8"/>
        <v>0</v>
      </c>
      <c r="U102" s="65">
        <f t="shared" si="8"/>
        <v>0</v>
      </c>
      <c r="V102" s="65">
        <f t="shared" si="8"/>
        <v>60</v>
      </c>
      <c r="W102" s="65">
        <f t="shared" si="8"/>
        <v>46</v>
      </c>
      <c r="X102" s="65">
        <f t="shared" si="8"/>
        <v>108</v>
      </c>
      <c r="Y102" s="65">
        <f t="shared" si="8"/>
        <v>96</v>
      </c>
      <c r="Z102" s="65">
        <f t="shared" si="8"/>
        <v>36</v>
      </c>
      <c r="AA102" s="65">
        <f t="shared" si="8"/>
        <v>49</v>
      </c>
      <c r="AB102" s="65">
        <f t="shared" si="8"/>
        <v>200</v>
      </c>
      <c r="AC102" s="65">
        <f t="shared" si="8"/>
        <v>224</v>
      </c>
      <c r="AD102" s="65">
        <f t="shared" si="8"/>
        <v>266</v>
      </c>
      <c r="AE102" s="65"/>
      <c r="AF102" s="65">
        <f t="shared" ref="AF102:AM102" si="9">SUM(AF17:AF101)</f>
        <v>0</v>
      </c>
      <c r="AG102" s="65">
        <f t="shared" si="9"/>
        <v>83</v>
      </c>
      <c r="AH102" s="65">
        <f t="shared" si="9"/>
        <v>0</v>
      </c>
      <c r="AI102" s="65">
        <f t="shared" si="9"/>
        <v>0</v>
      </c>
      <c r="AJ102" s="65">
        <f t="shared" si="9"/>
        <v>0</v>
      </c>
      <c r="AK102" s="65">
        <f t="shared" si="9"/>
        <v>0</v>
      </c>
      <c r="AL102" s="65">
        <f t="shared" si="9"/>
        <v>0</v>
      </c>
      <c r="AM102" s="65">
        <f t="shared" si="9"/>
        <v>0</v>
      </c>
    </row>
    <row r="103" spans="1:39" ht="38.1" customHeight="1" thickBot="1">
      <c r="B103" s="67" t="s">
        <v>161</v>
      </c>
      <c r="C103" s="68"/>
      <c r="D103" s="68"/>
      <c r="E103" s="68"/>
      <c r="F103" s="68"/>
      <c r="G103" s="68"/>
      <c r="H103" s="68"/>
      <c r="I103" s="68"/>
      <c r="J103" s="68"/>
      <c r="K103" s="69">
        <f>K13+K16+K102</f>
        <v>7266.8599999999969</v>
      </c>
      <c r="L103" s="69">
        <f>L13+L16+L102</f>
        <v>9406.0793863840117</v>
      </c>
      <c r="M103" s="70">
        <f t="shared" ref="M103:AM103" si="10">(M13+M16+M102)/(480-15-30)</f>
        <v>0</v>
      </c>
      <c r="N103" s="70">
        <f t="shared" si="10"/>
        <v>0</v>
      </c>
      <c r="O103" s="70">
        <f t="shared" si="10"/>
        <v>0</v>
      </c>
      <c r="P103" s="70">
        <f t="shared" si="10"/>
        <v>0</v>
      </c>
      <c r="Q103" s="70">
        <f t="shared" si="10"/>
        <v>0</v>
      </c>
      <c r="R103" s="70">
        <f t="shared" si="10"/>
        <v>0</v>
      </c>
      <c r="S103" s="70">
        <f t="shared" si="10"/>
        <v>0</v>
      </c>
      <c r="T103" s="70">
        <f t="shared" si="10"/>
        <v>0</v>
      </c>
      <c r="U103" s="70">
        <f t="shared" si="10"/>
        <v>0</v>
      </c>
      <c r="V103" s="70">
        <f t="shared" si="10"/>
        <v>0.13793103448275862</v>
      </c>
      <c r="W103" s="70">
        <f t="shared" si="10"/>
        <v>0.10574712643678161</v>
      </c>
      <c r="X103" s="70">
        <f t="shared" si="10"/>
        <v>0.24827586206896551</v>
      </c>
      <c r="Y103" s="70">
        <f t="shared" si="10"/>
        <v>0.22068965517241379</v>
      </c>
      <c r="Z103" s="70">
        <f t="shared" si="10"/>
        <v>8.2758620689655171E-2</v>
      </c>
      <c r="AA103" s="70">
        <f t="shared" si="10"/>
        <v>0.11264367816091954</v>
      </c>
      <c r="AB103" s="70">
        <f t="shared" si="10"/>
        <v>0.45977011494252873</v>
      </c>
      <c r="AC103" s="70">
        <f t="shared" si="10"/>
        <v>0.51494252873563218</v>
      </c>
      <c r="AD103" s="70">
        <f t="shared" si="10"/>
        <v>0.61149425287356318</v>
      </c>
      <c r="AE103" s="70">
        <f t="shared" si="10"/>
        <v>0</v>
      </c>
      <c r="AF103" s="70">
        <f t="shared" si="10"/>
        <v>0</v>
      </c>
      <c r="AG103" s="70">
        <f t="shared" si="10"/>
        <v>0.19080459770114944</v>
      </c>
      <c r="AH103" s="70">
        <f t="shared" si="10"/>
        <v>0</v>
      </c>
      <c r="AI103" s="70">
        <f t="shared" si="10"/>
        <v>0</v>
      </c>
      <c r="AJ103" s="70">
        <f t="shared" si="10"/>
        <v>0</v>
      </c>
      <c r="AK103" s="70">
        <f t="shared" si="10"/>
        <v>0</v>
      </c>
      <c r="AL103" s="70">
        <f t="shared" si="10"/>
        <v>0</v>
      </c>
      <c r="AM103" s="70">
        <f t="shared" si="10"/>
        <v>0</v>
      </c>
    </row>
    <row r="104" spans="1:39" ht="25.05" customHeight="1">
      <c r="B104" s="71"/>
      <c r="C104" s="71"/>
      <c r="D104" s="71"/>
      <c r="E104" s="72"/>
      <c r="F104" s="72"/>
      <c r="G104" s="72"/>
      <c r="H104" s="72"/>
      <c r="I104" s="73"/>
      <c r="J104" s="73"/>
      <c r="K104" s="72"/>
      <c r="L104" s="74"/>
      <c r="M104" s="74"/>
      <c r="N104" s="74"/>
      <c r="O104" s="74"/>
      <c r="P104" s="74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</row>
    <row r="105" spans="1:39" ht="25.05" customHeight="1">
      <c r="B105" s="71"/>
      <c r="C105" s="71"/>
      <c r="D105" s="71"/>
      <c r="E105" s="72"/>
      <c r="F105" s="72"/>
      <c r="G105" s="72"/>
      <c r="H105" s="72"/>
      <c r="I105" s="75" t="s">
        <v>162</v>
      </c>
      <c r="J105" s="73"/>
      <c r="K105" s="72"/>
      <c r="L105" s="74"/>
      <c r="M105" s="74"/>
      <c r="N105" s="74"/>
      <c r="O105" s="74"/>
      <c r="P105" s="74"/>
      <c r="Q105" s="72"/>
      <c r="R105" s="72"/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</row>
    <row r="106" spans="1:39" ht="25.05" customHeight="1">
      <c r="B106" s="71"/>
      <c r="C106" s="71"/>
      <c r="D106" s="71"/>
      <c r="E106" s="72"/>
      <c r="F106" s="72"/>
      <c r="G106" s="72"/>
      <c r="H106" s="72"/>
      <c r="I106" s="76" t="s">
        <v>163</v>
      </c>
      <c r="J106" s="10">
        <v>0</v>
      </c>
      <c r="K106" s="12">
        <v>8</v>
      </c>
      <c r="L106" s="12" t="s">
        <v>164</v>
      </c>
      <c r="M106" s="74"/>
      <c r="N106" s="16">
        <v>2</v>
      </c>
      <c r="O106" s="16"/>
      <c r="P106" s="16"/>
      <c r="Q106" s="77" t="s">
        <v>165</v>
      </c>
      <c r="R106" s="78"/>
      <c r="S106" s="72"/>
      <c r="T106" s="72"/>
      <c r="U106" s="72"/>
      <c r="V106" s="72"/>
      <c r="W106" s="72"/>
      <c r="X106" s="72"/>
      <c r="Y106" s="72"/>
      <c r="Z106" s="72"/>
      <c r="AA106" s="72"/>
      <c r="AC106" s="72"/>
      <c r="AD106" s="72"/>
      <c r="AE106" s="72"/>
      <c r="AF106" s="72"/>
      <c r="AG106" s="72"/>
      <c r="AH106" s="72"/>
      <c r="AI106" s="72"/>
    </row>
    <row r="107" spans="1:39" ht="25.05" customHeight="1">
      <c r="B107" s="71"/>
      <c r="C107" s="71"/>
      <c r="D107" s="71"/>
      <c r="E107" s="72"/>
      <c r="F107" s="72"/>
      <c r="G107" s="72"/>
      <c r="H107" s="72"/>
      <c r="I107" s="76" t="s">
        <v>166</v>
      </c>
      <c r="J107" s="10">
        <v>0</v>
      </c>
      <c r="K107" s="12">
        <v>0</v>
      </c>
      <c r="L107" s="12" t="s">
        <v>164</v>
      </c>
      <c r="M107" s="74"/>
      <c r="N107" s="16">
        <v>0</v>
      </c>
      <c r="O107" s="16"/>
      <c r="P107" s="16"/>
      <c r="Q107" s="77" t="s">
        <v>167</v>
      </c>
      <c r="R107" s="78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</row>
    <row r="108" spans="1:39" ht="25.05" customHeight="1">
      <c r="B108" s="71"/>
      <c r="C108" s="71"/>
      <c r="D108" s="71"/>
      <c r="E108" s="72"/>
      <c r="F108" s="72"/>
      <c r="G108" s="72"/>
      <c r="H108" s="72"/>
      <c r="I108" s="76" t="s">
        <v>168</v>
      </c>
      <c r="J108" s="10">
        <v>0</v>
      </c>
      <c r="K108" s="12">
        <v>17</v>
      </c>
      <c r="L108" s="12" t="s">
        <v>164</v>
      </c>
      <c r="M108" s="74"/>
      <c r="N108" s="16">
        <v>1</v>
      </c>
      <c r="O108" s="16"/>
      <c r="P108" s="16"/>
      <c r="Q108" s="77" t="s">
        <v>169</v>
      </c>
      <c r="R108" s="78"/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</row>
    <row r="109" spans="1:39" ht="25.05" customHeight="1">
      <c r="B109" s="71"/>
      <c r="C109" s="71"/>
      <c r="D109" s="71"/>
      <c r="E109" s="72"/>
      <c r="F109" s="72"/>
      <c r="G109" s="72"/>
      <c r="H109" s="72"/>
      <c r="I109" s="79" t="s">
        <v>170</v>
      </c>
      <c r="J109" s="52">
        <v>0</v>
      </c>
      <c r="K109" s="12">
        <v>2</v>
      </c>
      <c r="L109" s="53" t="s">
        <v>164</v>
      </c>
      <c r="M109" s="74"/>
      <c r="N109" s="16">
        <v>2</v>
      </c>
      <c r="O109" s="16"/>
      <c r="P109" s="16"/>
      <c r="Q109" s="77" t="s">
        <v>171</v>
      </c>
      <c r="R109" s="78"/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</row>
    <row r="110" spans="1:39" ht="25.05" customHeight="1">
      <c r="B110" s="71"/>
      <c r="C110" s="71"/>
      <c r="D110" s="71"/>
      <c r="E110" s="72"/>
      <c r="F110" s="72"/>
      <c r="G110" s="72"/>
      <c r="H110" s="72"/>
      <c r="I110" s="76" t="s">
        <v>172</v>
      </c>
      <c r="J110" s="10">
        <v>0</v>
      </c>
      <c r="K110" s="12">
        <f>SUM(K106:K109)</f>
        <v>27</v>
      </c>
      <c r="L110" s="12" t="s">
        <v>164</v>
      </c>
      <c r="M110" s="74"/>
      <c r="N110"/>
      <c r="O110"/>
      <c r="P110"/>
      <c r="Q110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</row>
    <row r="111" spans="1:39" ht="25.05" customHeight="1">
      <c r="B111" s="71"/>
      <c r="C111" s="71"/>
      <c r="D111" s="71"/>
      <c r="E111" s="72"/>
      <c r="F111" s="72"/>
      <c r="G111" s="72"/>
      <c r="H111" s="72"/>
      <c r="M111" s="74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</row>
    <row r="112" spans="1:39" ht="25.05" customHeight="1"/>
  </sheetData>
  <mergeCells count="11">
    <mergeCell ref="G2:H2"/>
    <mergeCell ref="B2:B3"/>
    <mergeCell ref="C2:C3"/>
    <mergeCell ref="D2:D3"/>
    <mergeCell ref="E2:E3"/>
    <mergeCell ref="F2:F3"/>
    <mergeCell ref="I2:I3"/>
    <mergeCell ref="J2:J3"/>
    <mergeCell ref="K2:K3"/>
    <mergeCell ref="L2:L3"/>
    <mergeCell ref="M2:AM2"/>
  </mergeCells>
  <pageMargins left="0.7" right="0.7" top="0.75" bottom="0.75" header="0.3" footer="0.3"/>
  <pageSetup paperSize="9" fitToHeight="0" orientation="landscape"/>
  <headerFooter>
    <oddHeader>&amp;C&amp;"Arial"&amp;10&amp;K000000 &lt;Restricted&gt;&amp;1#_x000D_</oddHeader>
    <oddFooter>&amp;C_x000D_&amp;1#&amp;"Arial"&amp;10&amp;K000000 &lt;Restricted&gt;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 27 Mar</vt:lpstr>
      <vt:lpstr>D 27 Mar</vt:lpstr>
      <vt:lpstr>N 26 Mar</vt:lpstr>
      <vt:lpstr>D 26 Mar </vt:lpstr>
      <vt:lpstr>N 25 Mar</vt:lpstr>
      <vt:lpstr>D 25 Mar</vt:lpstr>
      <vt:lpstr>N 24 Mar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Yeo Wei Xuan /AEG</dc:creator>
  <cp:lastModifiedBy>wx 1</cp:lastModifiedBy>
  <dcterms:created xsi:type="dcterms:W3CDTF">2026-05-20T07:49:49Z</dcterms:created>
  <dcterms:modified xsi:type="dcterms:W3CDTF">2026-06-04T09:19:50Z</dcterms:modified>
</cp:coreProperties>
</file>