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sats1.sharepoint.com/sites/SFSTProduction/Shared Documents/General/07.Production daily report/02.High risk/Production report 2026/"/>
    </mc:Choice>
  </mc:AlternateContent>
  <xr:revisionPtr revIDLastSave="9150" documentId="8_{2215792C-D91C-4347-9621-A94956C34EF2}" xr6:coauthVersionLast="47" xr6:coauthVersionMax="47" xr10:uidLastSave="{1F96D7E9-2FBB-42A3-B3F1-E11AA4491896}"/>
  <bookViews>
    <workbookView xWindow="-120" yWindow="-120" windowWidth="29040" windowHeight="15720" firstSheet="21" activeTab="23" xr2:uid="{CAF12CB1-520D-40C1-A471-3879C2EBCDFD}"/>
  </bookViews>
  <sheets>
    <sheet name="020326" sheetId="1" r:id="rId1"/>
    <sheet name="030326" sheetId="3" r:id="rId2"/>
    <sheet name="040326" sheetId="5" r:id="rId3"/>
    <sheet name="050326" sheetId="6" r:id="rId4"/>
    <sheet name="060326" sheetId="7" r:id="rId5"/>
    <sheet name="090326" sheetId="9" r:id="rId6"/>
    <sheet name="070326" sheetId="8" r:id="rId7"/>
    <sheet name="100326" sheetId="10" r:id="rId8"/>
    <sheet name="110326" sheetId="11" r:id="rId9"/>
    <sheet name="120326" sheetId="12" r:id="rId10"/>
    <sheet name="130326" sheetId="13" r:id="rId11"/>
    <sheet name="140326" sheetId="14" r:id="rId12"/>
    <sheet name="160326" sheetId="15" r:id="rId13"/>
    <sheet name="170326" sheetId="16" r:id="rId14"/>
    <sheet name="180326" sheetId="17" r:id="rId15"/>
    <sheet name="190326" sheetId="18" r:id="rId16"/>
    <sheet name="200326" sheetId="19" r:id="rId17"/>
    <sheet name="210326" sheetId="20" r:id="rId18"/>
    <sheet name="230326" sheetId="21" r:id="rId19"/>
    <sheet name="260326" sheetId="22" r:id="rId20"/>
    <sheet name="270326" sheetId="24" r:id="rId21"/>
    <sheet name="280226" sheetId="26" r:id="rId22"/>
    <sheet name="300326" sheetId="27" r:id="rId23"/>
    <sheet name="310326" sheetId="28" r:id="rId24"/>
  </sheets>
  <definedNames>
    <definedName name="_xlnm.Print_Area" localSheetId="0">'020326'!$A$2:$Q$138</definedName>
    <definedName name="_xlnm.Print_Area" localSheetId="1">'030326'!$A$2:$Q$144</definedName>
    <definedName name="_xlnm.Print_Area" localSheetId="2">'040326'!$A$2:$Q$142</definedName>
    <definedName name="_xlnm.Print_Area" localSheetId="3">'050326'!$A$2:$Q$134</definedName>
    <definedName name="_xlnm.Print_Area" localSheetId="4">'060326'!$A$2:$Q$132</definedName>
    <definedName name="_xlnm.Print_Area" localSheetId="6">'070326'!$A$2:$Q$134</definedName>
    <definedName name="_xlnm.Print_Area" localSheetId="5">'090326'!$A$2:$Q$132</definedName>
    <definedName name="_xlnm.Print_Area" localSheetId="7">'100326'!$A$2:$Q$143</definedName>
    <definedName name="_xlnm.Print_Area" localSheetId="8">'110326'!$A$2:$Q$147</definedName>
    <definedName name="_xlnm.Print_Area" localSheetId="9">'120326'!$A$2:$Q$145</definedName>
    <definedName name="_xlnm.Print_Area" localSheetId="10">'130326'!$A$2:$Q$148</definedName>
    <definedName name="_xlnm.Print_Area" localSheetId="11">'140326'!$A$2:$Q$128</definedName>
    <definedName name="_xlnm.Print_Area" localSheetId="12">'160326'!$A$2:$Q$144</definedName>
    <definedName name="_xlnm.Print_Area" localSheetId="13">'170326'!$A$2:$Q$152</definedName>
    <definedName name="_xlnm.Print_Area" localSheetId="14">'180326'!$A$2:$Q$140</definedName>
    <definedName name="_xlnm.Print_Area" localSheetId="15">'190326'!$A$2:$Q$138</definedName>
    <definedName name="_xlnm.Print_Area" localSheetId="16">'200326'!$A$2:$Q$136</definedName>
    <definedName name="_xlnm.Print_Area" localSheetId="17">'210326'!$A$2:$Q$145</definedName>
    <definedName name="_xlnm.Print_Area" localSheetId="18">'230326'!$A$2:$Q$138</definedName>
    <definedName name="_xlnm.Print_Area" localSheetId="19">'260326'!$A$2:$O$116</definedName>
    <definedName name="_xlnm.Print_Area" localSheetId="20">'270326'!$A$2:$O$116</definedName>
    <definedName name="_xlnm.Print_Area" localSheetId="21">'280226'!$A$2:$O$120</definedName>
    <definedName name="_xlnm.Print_Area" localSheetId="22">'300326'!$A$2:$Q$138</definedName>
    <definedName name="_xlnm.Print_Area" localSheetId="23">'310326'!$A$2:$Q$145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4" l="1"/>
  <c r="J13" i="6"/>
  <c r="K13" i="6"/>
  <c r="J36" i="28"/>
  <c r="J25" i="28"/>
  <c r="K25" i="28" s="1"/>
  <c r="J26" i="28"/>
  <c r="K26" i="28" s="1"/>
  <c r="J33" i="28"/>
  <c r="K33" i="28" s="1"/>
  <c r="J20" i="28"/>
  <c r="K20" i="28" s="1"/>
  <c r="J21" i="28"/>
  <c r="K21" i="28" s="1"/>
  <c r="J22" i="28"/>
  <c r="K22" i="28" s="1"/>
  <c r="J23" i="28"/>
  <c r="K23" i="28" s="1"/>
  <c r="J24" i="28"/>
  <c r="K24" i="28"/>
  <c r="J29" i="28"/>
  <c r="K29" i="28" s="1"/>
  <c r="J30" i="28"/>
  <c r="K30" i="28" s="1"/>
  <c r="J19" i="28"/>
  <c r="K19" i="28" s="1"/>
  <c r="J31" i="28"/>
  <c r="K31" i="28" s="1"/>
  <c r="J32" i="28"/>
  <c r="K32" i="28" s="1"/>
  <c r="K36" i="28"/>
  <c r="J37" i="28"/>
  <c r="K37" i="28" s="1"/>
  <c r="J38" i="28"/>
  <c r="K38" i="28" s="1"/>
  <c r="J39" i="28"/>
  <c r="K39" i="28" s="1"/>
  <c r="J40" i="28"/>
  <c r="K40" i="28" s="1"/>
  <c r="E43" i="28"/>
  <c r="J5" i="28"/>
  <c r="K5" i="28" s="1"/>
  <c r="J6" i="28"/>
  <c r="K6" i="28" s="1"/>
  <c r="J7" i="28"/>
  <c r="K7" i="28" s="1"/>
  <c r="J8" i="28"/>
  <c r="K8" i="28" s="1"/>
  <c r="J9" i="28"/>
  <c r="K9" i="28" s="1"/>
  <c r="J10" i="28"/>
  <c r="K10" i="28" s="1"/>
  <c r="J11" i="28"/>
  <c r="K11" i="28" s="1"/>
  <c r="J12" i="28"/>
  <c r="K12" i="28" s="1"/>
  <c r="J13" i="28"/>
  <c r="K13" i="28" s="1"/>
  <c r="J14" i="28"/>
  <c r="K14" i="28" s="1"/>
  <c r="J15" i="28"/>
  <c r="K15" i="28" s="1"/>
  <c r="J16" i="28"/>
  <c r="K16" i="28" s="1"/>
  <c r="J4" i="28"/>
  <c r="K4" i="28" s="1"/>
  <c r="F36" i="27"/>
  <c r="J29" i="27"/>
  <c r="J26" i="27"/>
  <c r="K26" i="27"/>
  <c r="J25" i="27"/>
  <c r="K25" i="27" s="1"/>
  <c r="J20" i="27"/>
  <c r="K20" i="27"/>
  <c r="J21" i="27"/>
  <c r="K21" i="27"/>
  <c r="J22" i="27"/>
  <c r="K22" i="27"/>
  <c r="J8" i="27"/>
  <c r="K8" i="27" s="1"/>
  <c r="E36" i="27"/>
  <c r="J33" i="27"/>
  <c r="K33" i="27" s="1"/>
  <c r="J32" i="27"/>
  <c r="K32" i="27" s="1"/>
  <c r="J31" i="27"/>
  <c r="K31" i="27" s="1"/>
  <c r="J30" i="27"/>
  <c r="K30" i="27" s="1"/>
  <c r="J19" i="27"/>
  <c r="K19" i="27" s="1"/>
  <c r="J18" i="27"/>
  <c r="K18" i="27" s="1"/>
  <c r="J17" i="27"/>
  <c r="K17" i="27" s="1"/>
  <c r="J14" i="27"/>
  <c r="K14" i="27" s="1"/>
  <c r="J11" i="27"/>
  <c r="K11" i="27" s="1"/>
  <c r="J10" i="27"/>
  <c r="K10" i="27" s="1"/>
  <c r="J9" i="27"/>
  <c r="K9" i="27" s="1"/>
  <c r="J7" i="27"/>
  <c r="K7" i="27" s="1"/>
  <c r="J6" i="27"/>
  <c r="K6" i="27" s="1"/>
  <c r="J5" i="27"/>
  <c r="K5" i="27" s="1"/>
  <c r="J4" i="27"/>
  <c r="K4" i="27" s="1"/>
  <c r="I15" i="26"/>
  <c r="I13" i="26"/>
  <c r="I12" i="26"/>
  <c r="I9" i="26"/>
  <c r="I4" i="24"/>
  <c r="E19" i="26"/>
  <c r="I8" i="26"/>
  <c r="I10" i="24"/>
  <c r="I8" i="24"/>
  <c r="I6" i="24"/>
  <c r="E15" i="24"/>
  <c r="E15" i="22"/>
  <c r="I4" i="22"/>
  <c r="I13" i="22"/>
  <c r="I12" i="22"/>
  <c r="I8" i="22"/>
  <c r="J18" i="21"/>
  <c r="F37" i="21"/>
  <c r="E37" i="21"/>
  <c r="J5" i="21"/>
  <c r="K5" i="21" s="1"/>
  <c r="J6" i="21"/>
  <c r="K6" i="21" s="1"/>
  <c r="J7" i="21"/>
  <c r="K7" i="21" s="1"/>
  <c r="J8" i="21"/>
  <c r="K8" i="21" s="1"/>
  <c r="J9" i="21"/>
  <c r="K9" i="21" s="1"/>
  <c r="J4" i="21"/>
  <c r="K4" i="21" s="1"/>
  <c r="J10" i="21"/>
  <c r="K10" i="21" s="1"/>
  <c r="J11" i="21"/>
  <c r="K11" i="21" s="1"/>
  <c r="J12" i="21"/>
  <c r="K12" i="21" s="1"/>
  <c r="J13" i="21"/>
  <c r="K13" i="21" s="1"/>
  <c r="J14" i="21"/>
  <c r="K14" i="21" s="1"/>
  <c r="J19" i="21"/>
  <c r="K19" i="21" s="1"/>
  <c r="J20" i="21"/>
  <c r="K20" i="21" s="1"/>
  <c r="J21" i="21"/>
  <c r="K21" i="21" s="1"/>
  <c r="J22" i="21"/>
  <c r="K22" i="21" s="1"/>
  <c r="J23" i="21"/>
  <c r="K23" i="21" s="1"/>
  <c r="J24" i="21"/>
  <c r="K24" i="21"/>
  <c r="J27" i="21"/>
  <c r="J28" i="21"/>
  <c r="K28" i="21"/>
  <c r="J29" i="21"/>
  <c r="K29" i="21" s="1"/>
  <c r="J30" i="21"/>
  <c r="K30" i="21"/>
  <c r="J31" i="21"/>
  <c r="K31" i="21"/>
  <c r="J32" i="21"/>
  <c r="K32" i="21"/>
  <c r="J33" i="21"/>
  <c r="K33" i="21"/>
  <c r="J34" i="21"/>
  <c r="K34" i="21"/>
  <c r="F44" i="20"/>
  <c r="K19" i="20"/>
  <c r="E44" i="20"/>
  <c r="J5" i="20"/>
  <c r="K5" i="20" s="1"/>
  <c r="J6" i="20"/>
  <c r="J9" i="20"/>
  <c r="K9" i="20" s="1"/>
  <c r="J18" i="20"/>
  <c r="K18" i="20" s="1"/>
  <c r="J28" i="20"/>
  <c r="J38" i="20"/>
  <c r="K38" i="20" s="1"/>
  <c r="J39" i="20"/>
  <c r="K39" i="20" s="1"/>
  <c r="J40" i="20"/>
  <c r="K40" i="20" s="1"/>
  <c r="J41" i="20"/>
  <c r="K41" i="20"/>
  <c r="J35" i="20"/>
  <c r="K35" i="20" s="1"/>
  <c r="J36" i="20"/>
  <c r="K36" i="20" s="1"/>
  <c r="J37" i="20"/>
  <c r="K37" i="20" s="1"/>
  <c r="J10" i="20"/>
  <c r="K10" i="20" s="1"/>
  <c r="J11" i="20"/>
  <c r="K11" i="20" s="1"/>
  <c r="J12" i="20"/>
  <c r="K12" i="20" s="1"/>
  <c r="J13" i="20"/>
  <c r="K13" i="20" s="1"/>
  <c r="J14" i="20"/>
  <c r="K14" i="20" s="1"/>
  <c r="J15" i="20"/>
  <c r="K15" i="20" s="1"/>
  <c r="J16" i="20"/>
  <c r="K16" i="20" s="1"/>
  <c r="J17" i="20"/>
  <c r="K17" i="20" s="1"/>
  <c r="J19" i="20"/>
  <c r="J20" i="20"/>
  <c r="K20" i="20" s="1"/>
  <c r="J21" i="20"/>
  <c r="K21" i="20" s="1"/>
  <c r="J22" i="20"/>
  <c r="K22" i="20" s="1"/>
  <c r="J23" i="20"/>
  <c r="K23" i="20" s="1"/>
  <c r="J24" i="20"/>
  <c r="K24" i="20" s="1"/>
  <c r="J25" i="20"/>
  <c r="K25" i="20" s="1"/>
  <c r="J29" i="20"/>
  <c r="K29" i="20" s="1"/>
  <c r="J30" i="20"/>
  <c r="K30" i="20" s="1"/>
  <c r="J31" i="20"/>
  <c r="K31" i="20" s="1"/>
  <c r="J32" i="20"/>
  <c r="K32" i="20" s="1"/>
  <c r="J34" i="20"/>
  <c r="K34" i="20" s="1"/>
  <c r="J33" i="20"/>
  <c r="K33" i="20" s="1"/>
  <c r="J4" i="20"/>
  <c r="K4" i="20" s="1"/>
  <c r="K21" i="19"/>
  <c r="J21" i="19"/>
  <c r="F35" i="19"/>
  <c r="E35" i="19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0" i="19"/>
  <c r="K20" i="19" s="1"/>
  <c r="J19" i="19"/>
  <c r="K19" i="19" s="1"/>
  <c r="J18" i="19"/>
  <c r="K18" i="19" s="1"/>
  <c r="J17" i="19"/>
  <c r="K17" i="19" s="1"/>
  <c r="J16" i="19"/>
  <c r="K16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J7" i="19"/>
  <c r="K7" i="19" s="1"/>
  <c r="J6" i="19"/>
  <c r="K6" i="19" s="1"/>
  <c r="J5" i="19"/>
  <c r="J4" i="19"/>
  <c r="K4" i="19" s="1"/>
  <c r="J13" i="18"/>
  <c r="K13" i="18" s="1"/>
  <c r="F37" i="18"/>
  <c r="J34" i="18"/>
  <c r="K34" i="18"/>
  <c r="J5" i="18"/>
  <c r="J4" i="18"/>
  <c r="K4" i="18" s="1"/>
  <c r="J32" i="18"/>
  <c r="K22" i="18"/>
  <c r="J20" i="18"/>
  <c r="K20" i="18" s="1"/>
  <c r="E37" i="18"/>
  <c r="J33" i="18"/>
  <c r="K33" i="18" s="1"/>
  <c r="K32" i="18"/>
  <c r="J31" i="18"/>
  <c r="K31" i="18" s="1"/>
  <c r="J30" i="18"/>
  <c r="K30" i="18" s="1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K24" i="18" s="1"/>
  <c r="J19" i="18"/>
  <c r="K19" i="18" s="1"/>
  <c r="J18" i="18"/>
  <c r="K18" i="18" s="1"/>
  <c r="J17" i="18"/>
  <c r="K17" i="18" s="1"/>
  <c r="J16" i="18"/>
  <c r="K16" i="18" s="1"/>
  <c r="J12" i="18"/>
  <c r="K12" i="18" s="1"/>
  <c r="J11" i="18"/>
  <c r="K11" i="18" s="1"/>
  <c r="J10" i="18"/>
  <c r="K10" i="18" s="1"/>
  <c r="J9" i="18"/>
  <c r="K9" i="18" s="1"/>
  <c r="J8" i="18"/>
  <c r="K8" i="18" s="1"/>
  <c r="J7" i="18"/>
  <c r="K7" i="18" s="1"/>
  <c r="J6" i="18"/>
  <c r="K6" i="18" s="1"/>
  <c r="E39" i="17"/>
  <c r="F39" i="17"/>
  <c r="K33" i="17"/>
  <c r="J15" i="17"/>
  <c r="J16" i="17"/>
  <c r="J17" i="17"/>
  <c r="J18" i="17"/>
  <c r="J21" i="17"/>
  <c r="J22" i="17"/>
  <c r="J23" i="17"/>
  <c r="J24" i="17"/>
  <c r="J25" i="17"/>
  <c r="J26" i="17"/>
  <c r="J27" i="17"/>
  <c r="J28" i="17"/>
  <c r="J29" i="17"/>
  <c r="J30" i="17"/>
  <c r="J33" i="17"/>
  <c r="J6" i="17"/>
  <c r="J4" i="17"/>
  <c r="J7" i="17"/>
  <c r="J5" i="17"/>
  <c r="J12" i="17"/>
  <c r="K5" i="17"/>
  <c r="K6" i="17"/>
  <c r="K7" i="17"/>
  <c r="J8" i="17"/>
  <c r="K8" i="17"/>
  <c r="J9" i="17"/>
  <c r="K9" i="17"/>
  <c r="J10" i="17"/>
  <c r="K10" i="17"/>
  <c r="J11" i="17"/>
  <c r="K11" i="17"/>
  <c r="K12" i="17"/>
  <c r="K15" i="17"/>
  <c r="K16" i="17"/>
  <c r="K17" i="17"/>
  <c r="K18" i="17"/>
  <c r="K21" i="17"/>
  <c r="K22" i="17"/>
  <c r="K23" i="17"/>
  <c r="K24" i="17"/>
  <c r="K25" i="17"/>
  <c r="K26" i="17"/>
  <c r="K27" i="17"/>
  <c r="K28" i="17"/>
  <c r="K29" i="17"/>
  <c r="K30" i="17"/>
  <c r="K4" i="17"/>
  <c r="J4" i="16"/>
  <c r="J39" i="16"/>
  <c r="F50" i="16"/>
  <c r="J36" i="16"/>
  <c r="K36" i="16"/>
  <c r="K28" i="16"/>
  <c r="J28" i="16"/>
  <c r="J35" i="16"/>
  <c r="K35" i="16" s="1"/>
  <c r="J34" i="16"/>
  <c r="K34" i="16" s="1"/>
  <c r="J33" i="16"/>
  <c r="K33" i="16" s="1"/>
  <c r="J32" i="16"/>
  <c r="K32" i="16" s="1"/>
  <c r="J31" i="16"/>
  <c r="K31" i="16" s="1"/>
  <c r="J30" i="16"/>
  <c r="K30" i="16" s="1"/>
  <c r="J29" i="16"/>
  <c r="K29" i="16" s="1"/>
  <c r="J44" i="16"/>
  <c r="J47" i="16"/>
  <c r="J16" i="16"/>
  <c r="K16" i="16" s="1"/>
  <c r="E50" i="16"/>
  <c r="J41" i="16"/>
  <c r="K41" i="16" s="1"/>
  <c r="J40" i="16"/>
  <c r="K40" i="16" s="1"/>
  <c r="K39" i="16"/>
  <c r="J25" i="16"/>
  <c r="K25" i="16" s="1"/>
  <c r="J24" i="16"/>
  <c r="K24" i="16" s="1"/>
  <c r="J23" i="16"/>
  <c r="K23" i="16" s="1"/>
  <c r="J20" i="16"/>
  <c r="K20" i="16" s="1"/>
  <c r="J19" i="16"/>
  <c r="K19" i="16" s="1"/>
  <c r="J18" i="16"/>
  <c r="K18" i="16" s="1"/>
  <c r="J17" i="16"/>
  <c r="K17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J7" i="16"/>
  <c r="K7" i="16" s="1"/>
  <c r="J6" i="16"/>
  <c r="K6" i="16" s="1"/>
  <c r="J5" i="16"/>
  <c r="K5" i="16" s="1"/>
  <c r="K4" i="16"/>
  <c r="F42" i="15"/>
  <c r="K35" i="15"/>
  <c r="K36" i="15"/>
  <c r="K37" i="15"/>
  <c r="K38" i="15"/>
  <c r="K34" i="15"/>
  <c r="K28" i="15"/>
  <c r="K29" i="15"/>
  <c r="K30" i="15"/>
  <c r="K12" i="15"/>
  <c r="E42" i="15"/>
  <c r="J12" i="15"/>
  <c r="J28" i="15"/>
  <c r="J29" i="15"/>
  <c r="J30" i="15"/>
  <c r="J34" i="15"/>
  <c r="J35" i="15"/>
  <c r="J36" i="15"/>
  <c r="J37" i="15"/>
  <c r="J38" i="15"/>
  <c r="J39" i="15"/>
  <c r="K39" i="15" s="1"/>
  <c r="K33" i="15"/>
  <c r="J26" i="15"/>
  <c r="K26" i="15" s="1"/>
  <c r="J10" i="15"/>
  <c r="K10" i="15" s="1"/>
  <c r="J27" i="15"/>
  <c r="K27" i="15" s="1"/>
  <c r="J23" i="15"/>
  <c r="K23" i="15" s="1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K17" i="15" s="1"/>
  <c r="J16" i="15"/>
  <c r="K16" i="15" s="1"/>
  <c r="J15" i="15"/>
  <c r="K15" i="15" s="1"/>
  <c r="J11" i="15"/>
  <c r="K11" i="15" s="1"/>
  <c r="J9" i="15"/>
  <c r="K9" i="15" s="1"/>
  <c r="J8" i="15"/>
  <c r="K8" i="15" s="1"/>
  <c r="J7" i="15"/>
  <c r="K7" i="15" s="1"/>
  <c r="J6" i="15"/>
  <c r="K6" i="15" s="1"/>
  <c r="J5" i="15"/>
  <c r="K5" i="15" s="1"/>
  <c r="J4" i="15"/>
  <c r="K4" i="15" s="1"/>
  <c r="F26" i="14"/>
  <c r="E26" i="14"/>
  <c r="J19" i="14"/>
  <c r="K19" i="14"/>
  <c r="J20" i="14"/>
  <c r="K20" i="14"/>
  <c r="J21" i="14"/>
  <c r="K21" i="14"/>
  <c r="J22" i="14"/>
  <c r="K22" i="14"/>
  <c r="J23" i="14"/>
  <c r="K23" i="14"/>
  <c r="J13" i="14"/>
  <c r="K13" i="14" s="1"/>
  <c r="J9" i="14"/>
  <c r="K9" i="14"/>
  <c r="J10" i="14"/>
  <c r="K10" i="14"/>
  <c r="J18" i="14"/>
  <c r="K18" i="14" s="1"/>
  <c r="J17" i="14"/>
  <c r="K17" i="14" s="1"/>
  <c r="J16" i="14"/>
  <c r="K16" i="14" s="1"/>
  <c r="J15" i="14"/>
  <c r="K15" i="14" s="1"/>
  <c r="J14" i="14"/>
  <c r="K14" i="14" s="1"/>
  <c r="J8" i="14"/>
  <c r="K8" i="14" s="1"/>
  <c r="J7" i="14"/>
  <c r="K7" i="14" s="1"/>
  <c r="J6" i="14"/>
  <c r="K6" i="14" s="1"/>
  <c r="J5" i="14"/>
  <c r="K5" i="14" s="1"/>
  <c r="J4" i="14"/>
  <c r="K4" i="14" s="1"/>
  <c r="F46" i="13"/>
  <c r="E46" i="13"/>
  <c r="J25" i="13"/>
  <c r="K25" i="13"/>
  <c r="J26" i="13"/>
  <c r="K26" i="13"/>
  <c r="J27" i="13"/>
  <c r="K27" i="13"/>
  <c r="J28" i="13"/>
  <c r="K28" i="13"/>
  <c r="J29" i="13"/>
  <c r="K29" i="13"/>
  <c r="J30" i="13"/>
  <c r="K30" i="13"/>
  <c r="J31" i="13"/>
  <c r="K31" i="13"/>
  <c r="J32" i="13"/>
  <c r="K32" i="13"/>
  <c r="J33" i="13"/>
  <c r="K33" i="13"/>
  <c r="J34" i="13"/>
  <c r="K34" i="13"/>
  <c r="J35" i="13"/>
  <c r="K35" i="13"/>
  <c r="J36" i="13"/>
  <c r="K36" i="13"/>
  <c r="J39" i="13"/>
  <c r="K39" i="13" s="1"/>
  <c r="J40" i="13"/>
  <c r="K40" i="13" s="1"/>
  <c r="J43" i="13"/>
  <c r="K43" i="13" s="1"/>
  <c r="J24" i="13"/>
  <c r="K24" i="13" s="1"/>
  <c r="J23" i="13"/>
  <c r="K23" i="13" s="1"/>
  <c r="J22" i="13"/>
  <c r="K22" i="13" s="1"/>
  <c r="J21" i="13"/>
  <c r="K21" i="13" s="1"/>
  <c r="J20" i="13"/>
  <c r="K20" i="13" s="1"/>
  <c r="J19" i="13"/>
  <c r="K19" i="13" s="1"/>
  <c r="J18" i="13"/>
  <c r="K18" i="13" s="1"/>
  <c r="J15" i="13"/>
  <c r="K15" i="13" s="1"/>
  <c r="J14" i="13"/>
  <c r="K14" i="13" s="1"/>
  <c r="J13" i="13"/>
  <c r="K13" i="13" s="1"/>
  <c r="J12" i="13"/>
  <c r="K12" i="13" s="1"/>
  <c r="J11" i="13"/>
  <c r="K11" i="13" s="1"/>
  <c r="J8" i="13"/>
  <c r="K8" i="13" s="1"/>
  <c r="J7" i="13"/>
  <c r="K7" i="13" s="1"/>
  <c r="J6" i="13"/>
  <c r="K6" i="13" s="1"/>
  <c r="J5" i="13"/>
  <c r="K5" i="13" s="1"/>
  <c r="J4" i="13"/>
  <c r="K4" i="13" s="1"/>
  <c r="F43" i="12"/>
  <c r="E43" i="12"/>
  <c r="J11" i="12"/>
  <c r="K11" i="12" s="1"/>
  <c r="J12" i="12"/>
  <c r="K12" i="12" s="1"/>
  <c r="J13" i="12"/>
  <c r="K13" i="12" s="1"/>
  <c r="J14" i="12"/>
  <c r="K14" i="12" s="1"/>
  <c r="J15" i="12"/>
  <c r="K15" i="12" s="1"/>
  <c r="J16" i="12"/>
  <c r="K16" i="12" s="1"/>
  <c r="J40" i="12"/>
  <c r="J37" i="12"/>
  <c r="K37" i="12" s="1"/>
  <c r="J34" i="12"/>
  <c r="K34" i="12" s="1"/>
  <c r="J33" i="12"/>
  <c r="K33" i="12" s="1"/>
  <c r="J32" i="12"/>
  <c r="K32" i="12" s="1"/>
  <c r="J31" i="12"/>
  <c r="K31" i="12" s="1"/>
  <c r="J30" i="12"/>
  <c r="K30" i="12" s="1"/>
  <c r="J29" i="12"/>
  <c r="K29" i="12" s="1"/>
  <c r="J28" i="12"/>
  <c r="K28" i="12" s="1"/>
  <c r="J25" i="12"/>
  <c r="K25" i="12" s="1"/>
  <c r="J24" i="12"/>
  <c r="K24" i="12" s="1"/>
  <c r="J23" i="12"/>
  <c r="K23" i="12" s="1"/>
  <c r="J22" i="12"/>
  <c r="K22" i="12" s="1"/>
  <c r="J21" i="12"/>
  <c r="K21" i="12" s="1"/>
  <c r="J20" i="12"/>
  <c r="K20" i="12" s="1"/>
  <c r="J19" i="12"/>
  <c r="J10" i="12"/>
  <c r="K10" i="12" s="1"/>
  <c r="J9" i="12"/>
  <c r="K9" i="12" s="1"/>
  <c r="J8" i="12"/>
  <c r="K8" i="12" s="1"/>
  <c r="J7" i="12"/>
  <c r="K7" i="12" s="1"/>
  <c r="J6" i="12"/>
  <c r="K6" i="12" s="1"/>
  <c r="J5" i="12"/>
  <c r="K5" i="12" s="1"/>
  <c r="J4" i="12"/>
  <c r="K4" i="12" s="1"/>
  <c r="F45" i="11"/>
  <c r="K39" i="11"/>
  <c r="E45" i="11"/>
  <c r="J13" i="11"/>
  <c r="J20" i="11"/>
  <c r="K20" i="11"/>
  <c r="J21" i="11"/>
  <c r="K21" i="11"/>
  <c r="J22" i="11"/>
  <c r="K22" i="11"/>
  <c r="J23" i="11"/>
  <c r="K23" i="11"/>
  <c r="J24" i="11"/>
  <c r="K24" i="11"/>
  <c r="J25" i="11"/>
  <c r="K25" i="11"/>
  <c r="J26" i="11"/>
  <c r="K26" i="11"/>
  <c r="J27" i="11"/>
  <c r="K27" i="11"/>
  <c r="J42" i="11"/>
  <c r="J7" i="11"/>
  <c r="K7" i="11"/>
  <c r="J8" i="11"/>
  <c r="K8" i="11"/>
  <c r="J9" i="11"/>
  <c r="K9" i="11"/>
  <c r="J10" i="11"/>
  <c r="K10" i="11"/>
  <c r="J39" i="11"/>
  <c r="J36" i="11"/>
  <c r="K36" i="11" s="1"/>
  <c r="J35" i="11"/>
  <c r="K35" i="11" s="1"/>
  <c r="J34" i="11"/>
  <c r="K34" i="11" s="1"/>
  <c r="J33" i="11"/>
  <c r="K33" i="11" s="1"/>
  <c r="J32" i="11"/>
  <c r="K32" i="11" s="1"/>
  <c r="J31" i="11"/>
  <c r="K31" i="11" s="1"/>
  <c r="J30" i="11"/>
  <c r="K3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6" i="11"/>
  <c r="K6" i="11" s="1"/>
  <c r="J5" i="11"/>
  <c r="K5" i="11" s="1"/>
  <c r="J4" i="11"/>
  <c r="K4" i="11" s="1"/>
  <c r="E41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24" i="10"/>
  <c r="K24" i="10" s="1"/>
  <c r="J23" i="10"/>
  <c r="J16" i="10"/>
  <c r="K16" i="10"/>
  <c r="J17" i="10"/>
  <c r="K17" i="10"/>
  <c r="J18" i="10"/>
  <c r="K18" i="10"/>
  <c r="J19" i="10"/>
  <c r="K19" i="10"/>
  <c r="J20" i="10"/>
  <c r="K20" i="10"/>
  <c r="J15" i="10"/>
  <c r="K15" i="10" s="1"/>
  <c r="K23" i="10"/>
  <c r="F41" i="10"/>
  <c r="J38" i="10"/>
  <c r="K38" i="10" s="1"/>
  <c r="J37" i="10"/>
  <c r="K37" i="10" s="1"/>
  <c r="J11" i="10"/>
  <c r="K11" i="10" s="1"/>
  <c r="J10" i="10"/>
  <c r="K10" i="10" s="1"/>
  <c r="J9" i="10"/>
  <c r="K9" i="10" s="1"/>
  <c r="J8" i="10"/>
  <c r="K8" i="10" s="1"/>
  <c r="J7" i="10"/>
  <c r="K7" i="10" s="1"/>
  <c r="J6" i="10"/>
  <c r="K6" i="10" s="1"/>
  <c r="J5" i="10"/>
  <c r="K5" i="10" s="1"/>
  <c r="J4" i="10"/>
  <c r="K4" i="10" s="1"/>
  <c r="E30" i="9"/>
  <c r="F30" i="9"/>
  <c r="J15" i="9"/>
  <c r="K15" i="9"/>
  <c r="J16" i="9"/>
  <c r="K16" i="9"/>
  <c r="J17" i="9"/>
  <c r="K17" i="9"/>
  <c r="J18" i="9"/>
  <c r="K18" i="9"/>
  <c r="J19" i="9"/>
  <c r="K19" i="9"/>
  <c r="J20" i="9"/>
  <c r="K20" i="9"/>
  <c r="J21" i="9"/>
  <c r="K21" i="9"/>
  <c r="J22" i="9"/>
  <c r="K22" i="9"/>
  <c r="J14" i="9"/>
  <c r="K14" i="9"/>
  <c r="J27" i="9"/>
  <c r="K27" i="9" s="1"/>
  <c r="J26" i="9"/>
  <c r="K26" i="9" s="1"/>
  <c r="J25" i="9"/>
  <c r="K25" i="9" s="1"/>
  <c r="J13" i="9"/>
  <c r="K13" i="9" s="1"/>
  <c r="J12" i="9"/>
  <c r="K12" i="9" s="1"/>
  <c r="J11" i="9"/>
  <c r="K11" i="9" s="1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F32" i="8"/>
  <c r="K5" i="8"/>
  <c r="K6" i="8"/>
  <c r="K7" i="8"/>
  <c r="K8" i="8"/>
  <c r="K9" i="8"/>
  <c r="K10" i="8"/>
  <c r="K11" i="8"/>
  <c r="K12" i="8"/>
  <c r="K13" i="8"/>
  <c r="K4" i="8"/>
  <c r="E32" i="8"/>
  <c r="J23" i="8"/>
  <c r="K23" i="8" s="1"/>
  <c r="J13" i="8"/>
  <c r="J29" i="8"/>
  <c r="K29" i="8" s="1"/>
  <c r="J28" i="8"/>
  <c r="K28" i="8" s="1"/>
  <c r="J27" i="8"/>
  <c r="K27" i="8" s="1"/>
  <c r="J26" i="8"/>
  <c r="K26" i="8" s="1"/>
  <c r="J25" i="8"/>
  <c r="K25" i="8" s="1"/>
  <c r="J24" i="8"/>
  <c r="K24" i="8" s="1"/>
  <c r="J20" i="8"/>
  <c r="K20" i="8" s="1"/>
  <c r="J19" i="8"/>
  <c r="K19" i="8" s="1"/>
  <c r="J18" i="8"/>
  <c r="K18" i="8" s="1"/>
  <c r="J17" i="8"/>
  <c r="K17" i="8" s="1"/>
  <c r="J16" i="8"/>
  <c r="K16" i="8" s="1"/>
  <c r="J12" i="8"/>
  <c r="J11" i="8"/>
  <c r="J10" i="8"/>
  <c r="J9" i="8"/>
  <c r="J8" i="8"/>
  <c r="J7" i="8"/>
  <c r="J6" i="8"/>
  <c r="J5" i="8"/>
  <c r="J4" i="8"/>
  <c r="J26" i="7"/>
  <c r="K26" i="7"/>
  <c r="J27" i="7"/>
  <c r="K27" i="7"/>
  <c r="E30" i="7"/>
  <c r="J9" i="7"/>
  <c r="K9" i="7" s="1"/>
  <c r="F30" i="7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7" i="7"/>
  <c r="K17" i="7" s="1"/>
  <c r="J16" i="7"/>
  <c r="K16" i="7" s="1"/>
  <c r="J15" i="7"/>
  <c r="K15" i="7" s="1"/>
  <c r="J12" i="7"/>
  <c r="K12" i="7" s="1"/>
  <c r="J11" i="7"/>
  <c r="K11" i="7" s="1"/>
  <c r="J10" i="7"/>
  <c r="K10" i="7" s="1"/>
  <c r="J8" i="7"/>
  <c r="K8" i="7" s="1"/>
  <c r="J7" i="7"/>
  <c r="K7" i="7" s="1"/>
  <c r="J6" i="7"/>
  <c r="K6" i="7" s="1"/>
  <c r="J5" i="7"/>
  <c r="K5" i="7" s="1"/>
  <c r="J4" i="7"/>
  <c r="K4" i="7" s="1"/>
  <c r="E32" i="6"/>
  <c r="F32" i="6"/>
  <c r="J12" i="6"/>
  <c r="K12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6" i="6"/>
  <c r="K16" i="6" s="1"/>
  <c r="J15" i="6"/>
  <c r="K15" i="6" s="1"/>
  <c r="J14" i="6"/>
  <c r="K14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K25" i="5"/>
  <c r="J25" i="5"/>
  <c r="J24" i="5"/>
  <c r="K24" i="5" s="1"/>
  <c r="F40" i="5"/>
  <c r="J33" i="5"/>
  <c r="K33" i="5"/>
  <c r="J34" i="5"/>
  <c r="K34" i="5"/>
  <c r="J35" i="5"/>
  <c r="K35" i="5"/>
  <c r="J36" i="5"/>
  <c r="K36" i="5"/>
  <c r="J37" i="5"/>
  <c r="K37" i="5"/>
  <c r="J18" i="5"/>
  <c r="K18" i="5"/>
  <c r="J19" i="5"/>
  <c r="K19" i="5"/>
  <c r="J20" i="5"/>
  <c r="K20" i="5"/>
  <c r="J21" i="5"/>
  <c r="K21" i="5"/>
  <c r="J15" i="5"/>
  <c r="K15" i="5"/>
  <c r="J16" i="5"/>
  <c r="K16" i="5"/>
  <c r="J17" i="5"/>
  <c r="K17" i="5"/>
  <c r="E40" i="5"/>
  <c r="J32" i="5"/>
  <c r="K32" i="5" s="1"/>
  <c r="J31" i="5"/>
  <c r="K31" i="5" s="1"/>
  <c r="J28" i="5"/>
  <c r="K28" i="5" s="1"/>
  <c r="J27" i="5"/>
  <c r="K27" i="5" s="1"/>
  <c r="J26" i="5"/>
  <c r="K26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J4" i="5"/>
  <c r="K4" i="5" s="1"/>
  <c r="F42" i="3"/>
  <c r="K35" i="3"/>
  <c r="K36" i="3"/>
  <c r="K37" i="3"/>
  <c r="K34" i="3"/>
  <c r="K27" i="3"/>
  <c r="K28" i="3"/>
  <c r="E42" i="3"/>
  <c r="J34" i="3"/>
  <c r="J35" i="3"/>
  <c r="J36" i="3"/>
  <c r="J37" i="3"/>
  <c r="J33" i="3"/>
  <c r="J29" i="3"/>
  <c r="J28" i="3"/>
  <c r="J40" i="3"/>
  <c r="K40" i="3" s="1"/>
  <c r="K29" i="3"/>
  <c r="J27" i="3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K15" i="3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  <c r="J5" i="3"/>
  <c r="K5" i="3" s="1"/>
  <c r="J4" i="3"/>
  <c r="K4" i="3" s="1"/>
  <c r="J24" i="1"/>
  <c r="K24" i="1"/>
  <c r="J25" i="1"/>
  <c r="K25" i="1"/>
  <c r="F36" i="1"/>
  <c r="E36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8" i="1"/>
  <c r="K18" i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3" i="1"/>
  <c r="K23" i="1" s="1"/>
  <c r="J22" i="1"/>
  <c r="K22" i="1" s="1"/>
  <c r="J21" i="1"/>
  <c r="K21" i="1" s="1"/>
  <c r="J20" i="1"/>
  <c r="K20" i="1" s="1"/>
  <c r="J19" i="1"/>
  <c r="K19" i="1" s="1"/>
  <c r="J7" i="1"/>
  <c r="K7" i="1" s="1"/>
  <c r="J6" i="1"/>
  <c r="K6" i="1" s="1"/>
  <c r="J5" i="1"/>
  <c r="K5" i="1" s="1"/>
  <c r="J4" i="1"/>
  <c r="K4" i="1" s="1"/>
  <c r="K6" i="20" l="1"/>
</calcChain>
</file>

<file path=xl/sharedStrings.xml><?xml version="1.0" encoding="utf-8"?>
<sst xmlns="http://schemas.openxmlformats.org/spreadsheetml/2006/main" count="1785" uniqueCount="258">
  <si>
    <t xml:space="preserve">  </t>
  </si>
  <si>
    <t>Name Of Product</t>
  </si>
  <si>
    <t>Batch Number</t>
  </si>
  <si>
    <t>Target Batch Size</t>
  </si>
  <si>
    <t>Meals Assembled</t>
  </si>
  <si>
    <t>Total Staff Used for Assembly</t>
  </si>
  <si>
    <t>Time (hr:mm)</t>
  </si>
  <si>
    <t>Total time
(minute)</t>
  </si>
  <si>
    <t>Cycle time
(Meal/minute)</t>
  </si>
  <si>
    <t>Any Down Time</t>
  </si>
  <si>
    <t>Remark</t>
  </si>
  <si>
    <t>Start</t>
  </si>
  <si>
    <t>Stop</t>
  </si>
  <si>
    <t>Baked Pasta with Chicken Tomato Ragout (ย้อน Lot.055)</t>
  </si>
  <si>
    <t>1</t>
  </si>
  <si>
    <t xml:space="preserve">Morning Talk 15 min </t>
  </si>
  <si>
    <t>Lot.061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</si>
  <si>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</si>
  <si>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</si>
  <si>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</si>
  <si>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</si>
  <si>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</si>
  <si>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</si>
  <si>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</si>
  <si>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</si>
  <si>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</si>
  <si>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</si>
  <si>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</si>
  <si>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Surplus</t>
  </si>
  <si>
    <t>Qc</t>
  </si>
  <si>
    <t>-</t>
  </si>
  <si>
    <t>Cleaning Line</t>
  </si>
  <si>
    <t>Sweet &amp; Sour Fish, Fried Rice and Oriental Vegetable</t>
  </si>
  <si>
    <t>46</t>
  </si>
  <si>
    <t>56</t>
  </si>
  <si>
    <t>Grill Chicken Breast with Thyme Jus</t>
  </si>
  <si>
    <t>Total</t>
  </si>
  <si>
    <t xml:space="preserve">                                           </t>
  </si>
  <si>
    <t>Baked Pasta with Chicken Tomato Ragout (MU)</t>
  </si>
  <si>
    <t>Lot.062</t>
  </si>
  <si>
    <t>47</t>
  </si>
  <si>
    <t>HR-1</t>
  </si>
  <si>
    <t>Cleaning Line , HR-1</t>
  </si>
  <si>
    <t>Meen Malabari with Pulao &amp; Lobia Gajar Poriyal, Plain Paratha 1st pro</t>
  </si>
  <si>
    <t>RD</t>
  </si>
  <si>
    <t>Nasi Goreng with Ayam Berempah and Spicy Sambal (Bento)</t>
  </si>
  <si>
    <t>0.5</t>
  </si>
  <si>
    <t>Baked Pasta with Chicken Tomato Ragout (Bento)</t>
  </si>
  <si>
    <t>Lot.063</t>
  </si>
  <si>
    <t>13</t>
  </si>
  <si>
    <t>14</t>
  </si>
  <si>
    <t xml:space="preserve">Cleaning Line </t>
  </si>
  <si>
    <t>15</t>
  </si>
  <si>
    <t>ST 2 = -3</t>
  </si>
  <si>
    <t>16</t>
  </si>
  <si>
    <t>17</t>
  </si>
  <si>
    <t>53</t>
  </si>
  <si>
    <t>2:50 - 3:05 pm</t>
  </si>
  <si>
    <t>waiting  penne pasta</t>
  </si>
  <si>
    <t>Spring Onion Chicken with Noodles (MU)</t>
  </si>
  <si>
    <t>Seafood tomyum bee hoon (Bento)</t>
  </si>
  <si>
    <t>ST 2 = +3</t>
  </si>
  <si>
    <t xml:space="preserve"> Black Pepper Chicken with Steamed Rice</t>
  </si>
  <si>
    <t>Lot.064</t>
  </si>
  <si>
    <t xml:space="preserve"> Chicken Meatball Pasta with Chasseur Sauce (Bento)</t>
  </si>
  <si>
    <t>60</t>
  </si>
  <si>
    <t>58</t>
  </si>
  <si>
    <t>ฆ</t>
  </si>
  <si>
    <t xml:space="preserve"> Baked Fish with Herb Sauce</t>
  </si>
  <si>
    <t>Morning Talk 15 min  (visitor 10.30-10.50) HR=42 , ST.2 = 15</t>
  </si>
  <si>
    <t>Lot.065</t>
  </si>
  <si>
    <t>ST.2 +2</t>
  </si>
  <si>
    <t>8.5</t>
  </si>
  <si>
    <t>44</t>
  </si>
  <si>
    <t>43</t>
  </si>
  <si>
    <t>HR -1</t>
  </si>
  <si>
    <t>ST.2 +4</t>
  </si>
  <si>
    <t>ST.2 +9</t>
  </si>
  <si>
    <t>Baked pasta with chicken tomato</t>
  </si>
  <si>
    <t>Morning Talk 15 min</t>
  </si>
  <si>
    <t>Lot.068</t>
  </si>
  <si>
    <t>9:42 - 10:50 am</t>
  </si>
  <si>
    <t>waiting  pasta</t>
  </si>
  <si>
    <t>18</t>
  </si>
  <si>
    <t>3:45 - 4:15 pm</t>
  </si>
  <si>
    <t>Arrabiata Fish with Fusilli Pasta &amp; Egg plant, Mushroom</t>
  </si>
  <si>
    <t>4:40 - 6:15 pm , 6:40 - 6:55 pm</t>
  </si>
  <si>
    <t>Baked fish with herb sauce</t>
  </si>
  <si>
    <t>Lot.066</t>
  </si>
  <si>
    <t>55</t>
  </si>
  <si>
    <t>Nasi lemak rendang</t>
  </si>
  <si>
    <t>54</t>
  </si>
  <si>
    <t>Arrabiata Fish with Fusilli Pasta &amp; Egg plant, Mushroom lot.068</t>
  </si>
  <si>
    <t>Lot.069</t>
  </si>
  <si>
    <t>Baked Cheese Omelette with Chicken Patties, Paprika Potatoes and Creamed Spinach</t>
  </si>
  <si>
    <t>48</t>
  </si>
  <si>
    <t>57</t>
  </si>
  <si>
    <t>Arrabiata Fish with Fusilli Pasta &amp; Egg plant, Mushroom lot.069</t>
  </si>
  <si>
    <t>Qa</t>
  </si>
  <si>
    <t>Ayam Taliwang, Nasi Uduk</t>
  </si>
  <si>
    <t>1.5</t>
  </si>
  <si>
    <t>Chicken ragout with pasta, Mushroom Cream sauce (Bento)</t>
  </si>
  <si>
    <t>Lot.070</t>
  </si>
  <si>
    <t>45</t>
  </si>
  <si>
    <t xml:space="preserve">HR -2 </t>
  </si>
  <si>
    <t>Korean Andong Style Chicken (Trial run)</t>
  </si>
  <si>
    <t>Chicken Bulgogi with Steamed Rice (Trial run)</t>
  </si>
  <si>
    <t>Lot.071</t>
  </si>
  <si>
    <t>Herb Scrambled Egg With Paprika Potatoes, Spinach Corn, Chicken Meatball, Tomato Sauce</t>
  </si>
  <si>
    <t>Gochujang Chicken with Steamed Rice (Trial run)</t>
  </si>
  <si>
    <t xml:space="preserve"> Kimchi Fried Rice with Chicken (Trial run)</t>
  </si>
  <si>
    <t>13/3/2026</t>
  </si>
  <si>
    <t>Gong Bao Chicken with Stream Rice</t>
  </si>
  <si>
    <t>09.18-09.43 am</t>
  </si>
  <si>
    <t>Morning Talk 15 min (waiting for cooldown and mixed component)</t>
  </si>
  <si>
    <t>Lot.072</t>
  </si>
  <si>
    <t>HR -2 man</t>
  </si>
  <si>
    <t>5.5</t>
  </si>
  <si>
    <t>Creamy Chicken and Mushroom with Pasta (Bento)</t>
  </si>
  <si>
    <t>Batching  13 man , HR 5 man</t>
  </si>
  <si>
    <t>21</t>
  </si>
  <si>
    <t>Batching  13 man , HR 8 man</t>
  </si>
  <si>
    <t>HR 12</t>
  </si>
  <si>
    <t>Baked Pasta with Chicken Tomato Rogout (Bento) ย้อน lot.068</t>
  </si>
  <si>
    <t>40</t>
  </si>
  <si>
    <t>51</t>
  </si>
  <si>
    <t>Baked Pasta with Chicken Tomato Rogout (Bento) lot.072</t>
  </si>
  <si>
    <t xml:space="preserve"> Mulgogi (Trial run)</t>
  </si>
  <si>
    <t>14/3/2026</t>
  </si>
  <si>
    <t>Lot.073</t>
  </si>
  <si>
    <t>1:05-1:30 pm</t>
  </si>
  <si>
    <t>BC = 15,HR=6 , waiting for the Scrambled egg</t>
  </si>
  <si>
    <t>1:05-1:50 pm</t>
  </si>
  <si>
    <t>HR = 46, waiting for the Scrambled egg</t>
  </si>
  <si>
    <t>BC = 15,HR=6</t>
  </si>
  <si>
    <t>52</t>
  </si>
  <si>
    <t>HR = -2</t>
  </si>
  <si>
    <t>16/3/2026</t>
  </si>
  <si>
    <t>09.15-09.25 am</t>
  </si>
  <si>
    <t>Lot.075</t>
  </si>
  <si>
    <t>BC = 16,HR=7</t>
  </si>
  <si>
    <t>35</t>
  </si>
  <si>
    <t>Scrambled Egg with Cheese, Hash Brown, Spinach Corn, Sausage, and Baked Beans</t>
  </si>
  <si>
    <t>Braised Noodle with Seafood (Bento) ย้อน Lot.073</t>
  </si>
  <si>
    <t>17/3/26</t>
  </si>
  <si>
    <t>Lot.076</t>
  </si>
  <si>
    <t>HR -3</t>
  </si>
  <si>
    <t>19</t>
  </si>
  <si>
    <t>BC = 16,HR=3</t>
  </si>
  <si>
    <t xml:space="preserve">BC -1 </t>
  </si>
  <si>
    <t>Scrambled Egg with Cheese, Hash Brown, Spinach Corn, Sausage, and Baked Beans ย้อน Lot.075</t>
  </si>
  <si>
    <t>2:50-3:15 pm</t>
  </si>
  <si>
    <t>พบปัญหา Scrambled egg เหลว</t>
  </si>
  <si>
    <t>2:15-2:45 pm</t>
  </si>
  <si>
    <t>waiting for the Scrambled egg and Spinach Corn</t>
  </si>
  <si>
    <t xml:space="preserve">Scrambled Egg with Cheese, Hash Brown, Spinach Corn, Sausage, and Baked Beans  </t>
  </si>
  <si>
    <t>49</t>
  </si>
  <si>
    <t>Beehoon Mee Soto (Trial Run)</t>
  </si>
  <si>
    <t>Laksa Noodle (Trial Run)</t>
  </si>
  <si>
    <t>18/3/26</t>
  </si>
  <si>
    <t>Lot.077</t>
  </si>
  <si>
    <t>HR = - 4</t>
  </si>
  <si>
    <t>Fried Rice With Vegetable &amp; Spring Onion Chicken</t>
  </si>
  <si>
    <t>HR = +4</t>
  </si>
  <si>
    <t>3.5</t>
  </si>
  <si>
    <t>Spring Onion Chicken With Noodle</t>
  </si>
  <si>
    <t>HR = - 3</t>
  </si>
  <si>
    <t>Mee Siam (Trial Run)</t>
  </si>
  <si>
    <t>Mee Siam Goreng (Trial Run)</t>
  </si>
  <si>
    <t>19/3/26</t>
  </si>
  <si>
    <t>ปั้นมัน</t>
  </si>
  <si>
    <t>1-5</t>
  </si>
  <si>
    <t>Lot.078</t>
  </si>
  <si>
    <t>BC = 12,HR=12</t>
  </si>
  <si>
    <t>Pot Roasted Chicken with Mushroom, Mashed Potatoes, Roasted Pumpkin and Carrots</t>
  </si>
  <si>
    <t>38</t>
  </si>
  <si>
    <t>23</t>
  </si>
  <si>
    <t>BC = -1,BC = 11,HR = 12</t>
  </si>
  <si>
    <t>Spring Onion Chicken with Noodles</t>
  </si>
  <si>
    <t>20/3/26</t>
  </si>
  <si>
    <t>Lot.079</t>
  </si>
  <si>
    <t>28</t>
  </si>
  <si>
    <t>24</t>
  </si>
  <si>
    <t>Braised Beehoon with Fried Fish and Prawns (Bento)</t>
  </si>
  <si>
    <t>37</t>
  </si>
  <si>
    <t>1-7</t>
  </si>
  <si>
    <t>Lot.080</t>
  </si>
  <si>
    <t>Nasi Goreng with Ayam Berempah and Spicy Sambal (Bento) ย้อน Lot.079</t>
  </si>
  <si>
    <t>HR=13</t>
  </si>
  <si>
    <t>Chicken Pasta in Tomato and Basil Sauce (Bento)</t>
  </si>
  <si>
    <t>HR = 42
BC = 16</t>
  </si>
  <si>
    <t>13:50-14:05</t>
  </si>
  <si>
    <t>waiting for cube</t>
  </si>
  <si>
    <t>20</t>
  </si>
  <si>
    <t>BC = 8, HR = 12</t>
  </si>
  <si>
    <t>BC = 16, HR = 12</t>
  </si>
  <si>
    <t>42</t>
  </si>
  <si>
    <t>5:07-5:26 pm</t>
  </si>
  <si>
    <t>สายพานไฟฟ้าช็อต</t>
  </si>
  <si>
    <t>23/3/2026</t>
  </si>
  <si>
    <t>Scrambled Egg with Herb, Paprika Potato, Smoked Baked Beans, Creamy Mushroom &amp; Sausage (Bento)</t>
  </si>
  <si>
    <t>Lot.082</t>
  </si>
  <si>
    <t>BC = 16 , HR = 6</t>
  </si>
  <si>
    <t>QA</t>
  </si>
  <si>
    <t xml:space="preserve"> Chicken ragout with pasta, Mushroom Cream sauce (Bento)</t>
  </si>
  <si>
    <t>15.15 - 15.25 pm</t>
  </si>
  <si>
    <t>waiting for pasta and pumpkin</t>
  </si>
  <si>
    <t xml:space="preserve"> Baked pasta with chicken tomato ragout (MU)</t>
  </si>
  <si>
    <t>สายพาน</t>
  </si>
  <si>
    <t>26/3/2026</t>
  </si>
  <si>
    <t>Spring Onion Chicken with Noodles ย้อน Lot.083</t>
  </si>
  <si>
    <t>2A</t>
  </si>
  <si>
    <t>Spring Onion Chicken with Noodles Lot.085</t>
  </si>
  <si>
    <t>1 , 2A</t>
  </si>
  <si>
    <t>27/3/2026</t>
  </si>
  <si>
    <t>Fish in Oriental Sauce with Short Grain Rice (MU) Lot.083</t>
  </si>
  <si>
    <t>Ginger Spring Onion Fish with Rice Vermicelli Lot.085</t>
  </si>
  <si>
    <t>2B</t>
  </si>
  <si>
    <t>waiting for noodle 15 min</t>
  </si>
  <si>
    <t>Herb Scrambled Egg Paprika Potatoes, Spinach Corn, Chicken Patties, Creamy Mushroom Lot.085</t>
  </si>
  <si>
    <t>waiting for Scrambled Egg 100 min</t>
  </si>
  <si>
    <t>No.</t>
  </si>
  <si>
    <t>28/3/2026</t>
  </si>
  <si>
    <t>Spring Onion Chicken with Noodles ย้อน Lot.086</t>
  </si>
  <si>
    <t>1,2A</t>
  </si>
  <si>
    <t>Herb Scrambled Egg, Paprika Potato, Spinach Corn, Chicken Patties, Creamy Mushroom ย้อนLot.085</t>
  </si>
  <si>
    <t>34</t>
  </si>
  <si>
    <t>waiting for Scrambled Egg 45 min</t>
  </si>
  <si>
    <t>26</t>
  </si>
  <si>
    <t>Herb Scrambled Egg, Paprika Potato, Spinach Corn, Chicken Patties, Creamy Mushroom ย้อนLot.086</t>
  </si>
  <si>
    <t>Herb Scrambled Egg, Paprika Potato, Spinach Corn, Chicken Patties, Creamy Mushroom ย้อนLot.087</t>
  </si>
  <si>
    <t>32</t>
  </si>
  <si>
    <t>HR -2</t>
  </si>
  <si>
    <t>25</t>
  </si>
  <si>
    <t>30/3/26</t>
  </si>
  <si>
    <t>Fish in Oriental Sauce with Short Grain Rice (MU) ย้อน Lot.087</t>
  </si>
  <si>
    <t>BC = 15 , HR = 5</t>
  </si>
  <si>
    <t>BC = 15 , HR = 6</t>
  </si>
  <si>
    <t>BC = 15 , HR = 7</t>
  </si>
  <si>
    <t>BC = 15 , HR = 11</t>
  </si>
  <si>
    <t>Fish in Oriental Sauce with Short Grain Rice (MU) ย้อน Lot.089</t>
  </si>
  <si>
    <t>Chicken Pasta in Tomato and Basil Sauce (Bento) ย้อน Lot.087</t>
  </si>
  <si>
    <t>33</t>
  </si>
  <si>
    <t>41</t>
  </si>
  <si>
    <t>Chicken Pasta in Tomato and Basil Sauce (Bento) ย้อน Lot.089</t>
  </si>
  <si>
    <t>Herb Scrambled Egg, Paprika Potato, Spinach Corn, Chicken Patties, Creamy Mushroom ย้อน Lot.087</t>
  </si>
  <si>
    <t>36</t>
  </si>
  <si>
    <t>HR+11</t>
  </si>
  <si>
    <t>Morning Talk 15 min (HR = 26+18)</t>
  </si>
  <si>
    <t>Lot.090</t>
  </si>
  <si>
    <t>Fish in Oriental Sauce with Short Grain Rice (MU)</t>
  </si>
  <si>
    <t>BC = 16 , HR=5</t>
  </si>
  <si>
    <t xml:space="preserve"> HR = 44</t>
  </si>
  <si>
    <t>10.5</t>
  </si>
  <si>
    <t>Oven Baked Fish with Tomato Herb Coulis and Mashed Potatoes</t>
  </si>
  <si>
    <t>HR +5</t>
  </si>
  <si>
    <t>Creamy Chicken and Mushroom with Pasta (Beento)</t>
  </si>
  <si>
    <t>Baked pasta with chicken tomato ragout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</si>
</sst>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h:mm\ AM/PM;@"/>
    <numFmt numFmtId="165" formatCode="[$-1000000]h:mm:ss;@"/>
    <numFmt numFmtId="166" formatCode="h:mm;@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  <charset val="222"/>
    </font>
    <font>
      <b/>
      <sz val="12"/>
      <color theme="1"/>
      <name val="AngsanaUPC"/>
      <family val="1"/>
      <charset val="222"/>
    </font>
    <font>
      <sz val="16"/>
      <color theme="1"/>
      <name val="AngsanaUPC"/>
      <family val="1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charset val="1"/>
    </font>
    <font>
      <sz val="16"/>
      <color rgb="FFFF0000"/>
      <name val="AngsanaUPC"/>
      <family val="1"/>
    </font>
    <font>
      <sz val="11"/>
      <color rgb="FFFF0000"/>
      <name val="Aptos Narrow"/>
      <family val="2"/>
      <scheme val="minor"/>
    </font>
    <font>
      <sz val="16"/>
      <color rgb="FF000000"/>
      <name val="AngsanaUPC"/>
      <family val="1"/>
    </font>
    <font>
      <sz val="12"/>
      <color theme="1"/>
      <name val="Calibri"/>
      <family val="2"/>
      <charset val="222"/>
    </font>
    <font>
      <sz val="11"/>
      <color rgb="FF000000"/>
      <name val="Aptos Narrow"/>
      <family val="2"/>
      <scheme val="minor"/>
    </font>
    <font>
      <sz val="16"/>
      <name val="AngsanaUPC"/>
      <family val="1"/>
    </font>
    <font>
      <b/>
      <sz val="12"/>
      <name val="Calibri"/>
      <family val="2"/>
      <charset val="222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sz val="12"/>
      <name val="Calibri"/>
      <family val="2"/>
      <charset val="222"/>
    </font>
    <font>
      <b/>
      <sz val="12"/>
      <name val="AngsanaUPC"/>
      <family val="1"/>
      <charset val="222"/>
    </font>
    <font>
      <b/>
      <sz val="14"/>
      <color theme="1"/>
      <name val="Calibri"/>
    </font>
    <font>
      <b/>
      <sz val="12"/>
      <color theme="1"/>
      <name val="Calibri"/>
      <charset val="222"/>
    </font>
    <font>
      <b/>
      <sz val="12"/>
      <name val="Calibri"/>
      <charset val="222"/>
    </font>
    <font>
      <b/>
      <sz val="12"/>
      <color rgb="FFFF0000"/>
      <name val="Calibri"/>
      <charset val="222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3"/>
      <color theme="1"/>
      <name val="Aptos Narrow"/>
      <scheme val="minor"/>
    </font>
    <font>
      <sz val="13"/>
      <name val="Aptos Narrow"/>
      <scheme val="minor"/>
    </font>
    <font>
      <sz val="13"/>
      <color theme="1"/>
      <name val="Aptos Narrow"/>
      <family val="2"/>
      <scheme val="minor"/>
    </font>
    <font>
      <sz val="15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name val="Aptos Narrow"/>
      <charset val="1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0">
    <xf numFmtId="0" fontId="0" fillId="0" borderId="0" xfId="0"/>
    <xf numFmtId="164" fontId="5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3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6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7" fontId="8" fillId="0" borderId="2" xfId="1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37" fontId="8" fillId="0" borderId="8" xfId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49" fontId="14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16" fillId="0" borderId="1" xfId="0" quotePrefix="1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49" fontId="1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7" fontId="21" fillId="0" borderId="2" xfId="1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37" fontId="21" fillId="0" borderId="8" xfId="1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top" wrapText="1"/>
    </xf>
    <xf numFmtId="164" fontId="19" fillId="0" borderId="1" xfId="0" applyNumberFormat="1" applyFont="1" applyBorder="1" applyAlignment="1">
      <alignment horizontal="center" vertical="center"/>
    </xf>
    <xf numFmtId="164" fontId="19" fillId="0" borderId="13" xfId="0" applyNumberFormat="1" applyFont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20" fontId="22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164" fontId="30" fillId="2" borderId="1" xfId="0" applyNumberFormat="1" applyFont="1" applyFill="1" applyBorder="1" applyAlignment="1">
      <alignment horizontal="center" vertical="top" wrapText="1"/>
    </xf>
    <xf numFmtId="14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49" fontId="32" fillId="0" borderId="1" xfId="0" quotePrefix="1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31" fillId="0" borderId="1" xfId="0" quotePrefix="1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49" fontId="36" fillId="0" borderId="1" xfId="0" quotePrefix="1" applyNumberFormat="1" applyFont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5" fillId="3" borderId="7" xfId="0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0" fontId="36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49" fontId="32" fillId="0" borderId="7" xfId="0" quotePrefix="1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49" fontId="31" fillId="0" borderId="9" xfId="0" quotePrefix="1" applyNumberFormat="1" applyFont="1" applyBorder="1" applyAlignment="1">
      <alignment horizontal="center" vertical="center"/>
    </xf>
    <xf numFmtId="49" fontId="33" fillId="0" borderId="7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1" fillId="0" borderId="7" xfId="0" quotePrefix="1" applyNumberFormat="1" applyFont="1" applyBorder="1" applyAlignment="1">
      <alignment horizontal="center" vertical="center"/>
    </xf>
    <xf numFmtId="164" fontId="19" fillId="0" borderId="7" xfId="0" applyNumberFormat="1" applyFont="1" applyBorder="1" applyAlignment="1">
      <alignment horizontal="center" vertical="center"/>
    </xf>
    <xf numFmtId="49" fontId="32" fillId="0" borderId="13" xfId="0" quotePrefix="1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164" fontId="36" fillId="0" borderId="21" xfId="0" applyNumberFormat="1" applyFont="1" applyBorder="1" applyAlignment="1">
      <alignment horizontal="center" vertical="center"/>
    </xf>
    <xf numFmtId="164" fontId="36" fillId="0" borderId="14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14" fontId="31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14" fontId="31" fillId="0" borderId="9" xfId="0" applyNumberFormat="1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4" fontId="31" fillId="0" borderId="2" xfId="0" applyNumberFormat="1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0" fontId="35" fillId="3" borderId="27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49" fontId="32" fillId="0" borderId="23" xfId="0" quotePrefix="1" applyNumberFormat="1" applyFont="1" applyBorder="1" applyAlignment="1">
      <alignment horizontal="center" vertical="center"/>
    </xf>
    <xf numFmtId="49" fontId="32" fillId="0" borderId="28" xfId="0" applyNumberFormat="1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164" fontId="30" fillId="2" borderId="9" xfId="0" applyNumberFormat="1" applyFont="1" applyFill="1" applyBorder="1" applyAlignment="1">
      <alignment horizontal="center" vertical="top" wrapText="1"/>
    </xf>
    <xf numFmtId="0" fontId="32" fillId="0" borderId="13" xfId="0" applyFont="1" applyBorder="1" applyAlignment="1">
      <alignment horizontal="center" vertical="center"/>
    </xf>
    <xf numFmtId="49" fontId="36" fillId="0" borderId="3" xfId="0" quotePrefix="1" applyNumberFormat="1" applyFont="1" applyBorder="1" applyAlignment="1">
      <alignment horizontal="center" vertical="center"/>
    </xf>
    <xf numFmtId="49" fontId="32" fillId="0" borderId="3" xfId="0" quotePrefix="1" applyNumberFormat="1" applyFont="1" applyBorder="1" applyAlignment="1">
      <alignment horizontal="center" vertical="center"/>
    </xf>
    <xf numFmtId="49" fontId="36" fillId="0" borderId="10" xfId="0" quotePrefix="1" applyNumberFormat="1" applyFont="1" applyBorder="1" applyAlignment="1">
      <alignment horizontal="center" vertical="center"/>
    </xf>
    <xf numFmtId="49" fontId="36" fillId="0" borderId="16" xfId="0" quotePrefix="1" applyNumberFormat="1" applyFont="1" applyBorder="1" applyAlignment="1">
      <alignment horizontal="center" vertical="center"/>
    </xf>
    <xf numFmtId="49" fontId="36" fillId="0" borderId="26" xfId="0" quotePrefix="1" applyNumberFormat="1" applyFont="1" applyBorder="1" applyAlignment="1">
      <alignment horizontal="center" vertical="center"/>
    </xf>
    <xf numFmtId="164" fontId="33" fillId="0" borderId="13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49" fontId="32" fillId="0" borderId="14" xfId="0" quotePrefix="1" applyNumberFormat="1" applyFont="1" applyBorder="1" applyAlignment="1">
      <alignment horizontal="center" vertical="center"/>
    </xf>
    <xf numFmtId="49" fontId="32" fillId="0" borderId="23" xfId="0" applyNumberFormat="1" applyFont="1" applyBorder="1" applyAlignment="1">
      <alignment horizontal="center" vertical="center"/>
    </xf>
    <xf numFmtId="49" fontId="32" fillId="0" borderId="16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32" fillId="0" borderId="27" xfId="0" applyFont="1" applyBorder="1" applyAlignment="1">
      <alignment vertical="center"/>
    </xf>
    <xf numFmtId="0" fontId="32" fillId="0" borderId="25" xfId="0" applyFont="1" applyBorder="1" applyAlignment="1">
      <alignment vertical="center"/>
    </xf>
    <xf numFmtId="166" fontId="40" fillId="0" borderId="21" xfId="0" applyNumberFormat="1" applyFont="1" applyBorder="1" applyAlignment="1">
      <alignment horizontal="center" vertical="center"/>
    </xf>
    <xf numFmtId="166" fontId="39" fillId="0" borderId="23" xfId="0" applyNumberFormat="1" applyFont="1" applyBorder="1" applyAlignment="1">
      <alignment horizontal="center" vertical="center"/>
    </xf>
    <xf numFmtId="14" fontId="31" fillId="0" borderId="13" xfId="0" applyNumberFormat="1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37" fontId="21" fillId="0" borderId="7" xfId="1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2" fillId="0" borderId="17" xfId="0" applyFont="1" applyBorder="1" applyAlignment="1">
      <alignment vertical="center" wrapText="1"/>
    </xf>
    <xf numFmtId="3" fontId="1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quotePrefix="1" applyNumberFormat="1" applyFont="1" applyBorder="1" applyAlignment="1">
      <alignment horizontal="center" vertical="center"/>
    </xf>
    <xf numFmtId="3" fontId="14" fillId="0" borderId="1" xfId="0" quotePrefix="1" applyNumberFormat="1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164" fontId="33" fillId="0" borderId="14" xfId="0" applyNumberFormat="1" applyFont="1" applyBorder="1" applyAlignment="1">
      <alignment horizontal="center" vertical="center"/>
    </xf>
    <xf numFmtId="164" fontId="33" fillId="0" borderId="13" xfId="0" applyNumberFormat="1" applyFont="1" applyBorder="1" applyAlignment="1">
      <alignment horizontal="center" vertical="center"/>
    </xf>
    <xf numFmtId="166" fontId="39" fillId="0" borderId="26" xfId="0" applyNumberFormat="1" applyFont="1" applyBorder="1" applyAlignment="1">
      <alignment horizontal="center" vertical="center"/>
    </xf>
    <xf numFmtId="166" fontId="39" fillId="0" borderId="23" xfId="0" applyNumberFormat="1" applyFont="1" applyBorder="1" applyAlignment="1">
      <alignment horizontal="center" vertical="center"/>
    </xf>
    <xf numFmtId="164" fontId="33" fillId="0" borderId="15" xfId="0" applyNumberFormat="1" applyFont="1" applyBorder="1" applyAlignment="1">
      <alignment horizontal="center" vertical="center"/>
    </xf>
    <xf numFmtId="166" fontId="39" fillId="0" borderId="31" xfId="0" applyNumberFormat="1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top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top" wrapText="1"/>
    </xf>
    <xf numFmtId="0" fontId="30" fillId="2" borderId="9" xfId="0" applyFont="1" applyFill="1" applyBorder="1" applyAlignment="1">
      <alignment horizontal="center" vertical="top" wrapText="1"/>
    </xf>
    <xf numFmtId="165" fontId="29" fillId="2" borderId="1" xfId="0" applyNumberFormat="1" applyFont="1" applyFill="1" applyBorder="1" applyAlignment="1">
      <alignment horizontal="center" vertical="top" wrapText="1"/>
    </xf>
    <xf numFmtId="0" fontId="29" fillId="2" borderId="9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164" fontId="36" fillId="0" borderId="19" xfId="0" applyNumberFormat="1" applyFont="1" applyBorder="1" applyAlignment="1">
      <alignment horizontal="center" vertical="center"/>
    </xf>
    <xf numFmtId="164" fontId="36" fillId="0" borderId="20" xfId="0" applyNumberFormat="1" applyFont="1" applyBorder="1" applyAlignment="1">
      <alignment horizontal="center" vertical="center"/>
    </xf>
    <xf numFmtId="164" fontId="36" fillId="0" borderId="4" xfId="0" applyNumberFormat="1" applyFont="1" applyBorder="1" applyAlignment="1">
      <alignment horizontal="center" vertical="center"/>
    </xf>
    <xf numFmtId="164" fontId="36" fillId="0" borderId="9" xfId="0" applyNumberFormat="1" applyFont="1" applyBorder="1" applyAlignment="1">
      <alignment horizontal="center" vertical="center"/>
    </xf>
    <xf numFmtId="164" fontId="36" fillId="0" borderId="11" xfId="0" applyNumberFormat="1" applyFont="1" applyBorder="1" applyAlignment="1">
      <alignment horizontal="center" vertical="center"/>
    </xf>
    <xf numFmtId="166" fontId="40" fillId="0" borderId="10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66" fontId="40" fillId="0" borderId="8" xfId="0" applyNumberFormat="1" applyFont="1" applyBorder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top" wrapText="1"/>
    </xf>
    <xf numFmtId="0" fontId="32" fillId="0" borderId="14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top" wrapText="1"/>
    </xf>
    <xf numFmtId="165" fontId="5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top" wrapText="1"/>
    </xf>
    <xf numFmtId="0" fontId="22" fillId="0" borderId="9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164" fontId="24" fillId="2" borderId="1" xfId="0" applyNumberFormat="1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top" wrapText="1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top" wrapText="1"/>
    </xf>
    <xf numFmtId="166" fontId="16" fillId="0" borderId="10" xfId="0" applyNumberFormat="1" applyFont="1" applyBorder="1" applyAlignment="1">
      <alignment horizontal="center" vertical="center"/>
    </xf>
    <xf numFmtId="166" fontId="16" fillId="0" borderId="18" xfId="0" applyNumberFormat="1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4" fontId="36" fillId="0" borderId="21" xfId="0" applyNumberFormat="1" applyFont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36" fillId="0" borderId="7" xfId="0" applyNumberFormat="1" applyFont="1" applyBorder="1" applyAlignment="1">
      <alignment horizontal="center" vertical="center"/>
    </xf>
    <xf numFmtId="164" fontId="36" fillId="0" borderId="14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49" fontId="32" fillId="0" borderId="13" xfId="0" applyNumberFormat="1" applyFont="1" applyBorder="1" applyAlignment="1">
      <alignment horizontal="center" vertical="center"/>
    </xf>
    <xf numFmtId="49" fontId="32" fillId="0" borderId="7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164" fontId="33" fillId="0" borderId="20" xfId="0" applyNumberFormat="1" applyFont="1" applyBorder="1" applyAlignment="1">
      <alignment horizontal="center" vertical="center"/>
    </xf>
    <xf numFmtId="164" fontId="33" fillId="0" borderId="4" xfId="0" applyNumberFormat="1" applyFont="1" applyBorder="1" applyAlignment="1">
      <alignment horizontal="center" vertical="center"/>
    </xf>
    <xf numFmtId="164" fontId="33" fillId="0" borderId="11" xfId="0" applyNumberFormat="1" applyFont="1" applyBorder="1" applyAlignment="1">
      <alignment horizontal="center" vertical="center"/>
    </xf>
    <xf numFmtId="164" fontId="33" fillId="0" borderId="2" xfId="0" applyNumberFormat="1" applyFont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0" fontId="35" fillId="3" borderId="24" xfId="0" applyFont="1" applyFill="1" applyBorder="1" applyAlignment="1">
      <alignment horizontal="center" vertical="center" wrapText="1"/>
    </xf>
    <xf numFmtId="0" fontId="35" fillId="3" borderId="25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164" fontId="33" fillId="0" borderId="7" xfId="0" applyNumberFormat="1" applyFont="1" applyBorder="1" applyAlignment="1">
      <alignment horizontal="center" vertical="center"/>
    </xf>
    <xf numFmtId="165" fontId="29" fillId="2" borderId="9" xfId="0" applyNumberFormat="1" applyFont="1" applyFill="1" applyBorder="1" applyAlignment="1">
      <alignment horizontal="center" vertical="top" wrapText="1"/>
    </xf>
    <xf numFmtId="0" fontId="36" fillId="0" borderId="7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165" fontId="24" fillId="2" borderId="1" xfId="0" applyNumberFormat="1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F5BB-8E68-4667-8E9E-C990A85426B3}">
  <dimension ref="B2:M62"/>
  <sheetViews>
    <sheetView topLeftCell="A27" zoomScale="80" zoomScaleNormal="80" workbookViewId="0">
      <selection activeCell="K16" sqref="K16:K17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46056</v>
      </c>
      <c r="C4" s="18" t="s">
        <v>13</v>
      </c>
      <c r="D4" s="5" t="s">
        <v>14</v>
      </c>
      <c r="E4" s="6">
        <v>1000</v>
      </c>
      <c r="F4" s="6">
        <v>960</v>
      </c>
      <c r="G4" s="7">
        <v>56</v>
      </c>
      <c r="H4" s="8">
        <v>0.37847222222222221</v>
      </c>
      <c r="I4" s="8">
        <v>0.39583333333333331</v>
      </c>
      <c r="J4" s="9">
        <f>I4-H4</f>
        <v>1.7361111111111105E-2</v>
      </c>
      <c r="K4" s="10">
        <f>IFERROR((J4*24*60)/F4,"")</f>
        <v>2.6041666666666661E-2</v>
      </c>
      <c r="L4" s="11"/>
      <c r="M4" s="4" t="s">
        <v>15</v>
      </c>
    </row>
    <row r="5" spans="2:13" ht="21" customHeight="1">
      <c r="B5" s="22" t="s">
        <v>16</v>
      </c>
      <c r="C5" s="4"/>
      <c r="D5" s="5" t="s">
        <v>17</v>
      </c>
      <c r="E5" s="6">
        <v>1000</v>
      </c>
      <c r="F5" s="6">
        <v>1000</v>
      </c>
      <c r="G5" s="7">
        <v>56</v>
      </c>
      <c r="H5" s="8">
        <v>0.39583333333333331</v>
      </c>
      <c r="I5" s="8">
        <v>0.40277777777777779</v>
      </c>
      <c r="J5" s="9">
        <f>I5-H5</f>
        <v>6.9444444444444753E-3</v>
      </c>
      <c r="K5" s="10">
        <f>IFERROR((J5*24*60)/F5,"")</f>
        <v>1.0000000000000044E-2</v>
      </c>
      <c r="L5" s="12"/>
      <c r="M5" s="4"/>
    </row>
    <row r="6" spans="2:13" ht="21" customHeight="1">
      <c r="B6" s="4"/>
      <c r="C6" s="4"/>
      <c r="D6" s="5" t="s">
        <v>18</v>
      </c>
      <c r="E6" s="6">
        <v>1000</v>
      </c>
      <c r="F6" s="6">
        <v>1000</v>
      </c>
      <c r="G6" s="7">
        <v>56</v>
      </c>
      <c r="H6" s="8">
        <v>0.40277777777777779</v>
      </c>
      <c r="I6" s="8">
        <v>0.41319444444444442</v>
      </c>
      <c r="J6" s="9">
        <f>I6-H6</f>
        <v>1.041666666666663E-2</v>
      </c>
      <c r="K6" s="10">
        <f>IFERROR((J6*24*60)/F6,"")</f>
        <v>1.4999999999999947E-2</v>
      </c>
      <c r="L6" s="4"/>
      <c r="M6" s="4"/>
    </row>
    <row r="7" spans="2:13" ht="21" customHeight="1">
      <c r="B7" s="4"/>
      <c r="C7" s="4"/>
      <c r="D7" s="5" t="s">
        <v>19</v>
      </c>
      <c r="E7" s="6">
        <v>1000</v>
      </c>
      <c r="F7" s="6">
        <v>1040</v>
      </c>
      <c r="G7" s="7">
        <v>56</v>
      </c>
      <c r="H7" s="8">
        <v>0.41319444444444442</v>
      </c>
      <c r="I7" s="8">
        <v>0.4236111111111111</v>
      </c>
      <c r="J7" s="9">
        <f>I7-H7</f>
        <v>1.0416666666666685E-2</v>
      </c>
      <c r="K7" s="10">
        <f>IFERROR((J7*24*60)/F7,"")</f>
        <v>1.4423076923076948E-2</v>
      </c>
      <c r="L7" s="4"/>
      <c r="M7" s="4"/>
    </row>
    <row r="8" spans="2:13" ht="21" customHeight="1">
      <c r="B8" s="4"/>
      <c r="C8" s="4"/>
      <c r="D8" s="5" t="s">
        <v>20</v>
      </c>
      <c r="E8" s="6">
        <v>1000</v>
      </c>
      <c r="F8" s="6">
        <v>1000</v>
      </c>
      <c r="G8" s="7">
        <v>56</v>
      </c>
      <c r="H8" s="8">
        <v>0.4236111111111111</v>
      </c>
      <c r="I8" s="8">
        <v>0.43402777777777779</v>
      </c>
      <c r="J8" s="9">
        <f t="shared" ref="J8:J18" si="0">I8-H8</f>
        <v>1.0416666666666685E-2</v>
      </c>
      <c r="K8" s="10">
        <f t="shared" ref="K8:K18" si="1">IFERROR((J8*24*60)/F8,"")</f>
        <v>1.5000000000000027E-2</v>
      </c>
      <c r="L8" s="4"/>
      <c r="M8" s="4"/>
    </row>
    <row r="9" spans="2:13" ht="21" customHeight="1">
      <c r="B9" s="4"/>
      <c r="C9" s="4"/>
      <c r="D9" s="5" t="s">
        <v>21</v>
      </c>
      <c r="E9" s="6">
        <v>1000</v>
      </c>
      <c r="F9" s="6">
        <v>1000</v>
      </c>
      <c r="G9" s="7">
        <v>56</v>
      </c>
      <c r="H9" s="8">
        <v>0.43402777777777779</v>
      </c>
      <c r="I9" s="8">
        <v>0.44791666666666669</v>
      </c>
      <c r="J9" s="9">
        <f t="shared" si="0"/>
        <v>1.3888888888888895E-2</v>
      </c>
      <c r="K9" s="10">
        <f t="shared" si="1"/>
        <v>2.0000000000000007E-2</v>
      </c>
      <c r="L9" s="4"/>
      <c r="M9" s="4"/>
    </row>
    <row r="10" spans="2:13" ht="21" customHeight="1">
      <c r="B10" s="4"/>
      <c r="C10" s="4"/>
      <c r="D10" s="5" t="s">
        <v>22</v>
      </c>
      <c r="E10" s="6">
        <v>1000</v>
      </c>
      <c r="F10" s="6">
        <v>1000</v>
      </c>
      <c r="G10" s="7">
        <v>56</v>
      </c>
      <c r="H10" s="8">
        <v>0.44791666666666669</v>
      </c>
      <c r="I10" s="8">
        <v>0.45833333333333331</v>
      </c>
      <c r="J10" s="9">
        <f t="shared" si="0"/>
        <v>1.041666666666663E-2</v>
      </c>
      <c r="K10" s="10">
        <f t="shared" si="1"/>
        <v>1.4999999999999947E-2</v>
      </c>
      <c r="L10" s="4"/>
      <c r="M10" s="4"/>
    </row>
    <row r="11" spans="2:13" ht="21" customHeight="1">
      <c r="B11" s="4"/>
      <c r="C11" s="4"/>
      <c r="D11" s="5" t="s">
        <v>23</v>
      </c>
      <c r="E11" s="6">
        <v>1000</v>
      </c>
      <c r="F11" s="6">
        <v>1000</v>
      </c>
      <c r="G11" s="7">
        <v>56</v>
      </c>
      <c r="H11" s="8">
        <v>0.45833333333333331</v>
      </c>
      <c r="I11" s="8">
        <v>0.47222222222222221</v>
      </c>
      <c r="J11" s="9">
        <f t="shared" si="0"/>
        <v>1.3888888888888895E-2</v>
      </c>
      <c r="K11" s="10">
        <f t="shared" si="1"/>
        <v>2.0000000000000007E-2</v>
      </c>
      <c r="L11" s="4"/>
      <c r="M11" s="4"/>
    </row>
    <row r="12" spans="2:13" ht="21" customHeight="1">
      <c r="B12" s="4"/>
      <c r="C12" s="4"/>
      <c r="D12" s="5" t="s">
        <v>24</v>
      </c>
      <c r="E12" s="6">
        <v>1000</v>
      </c>
      <c r="F12" s="6">
        <v>1000</v>
      </c>
      <c r="G12" s="7">
        <v>56</v>
      </c>
      <c r="H12" s="8">
        <v>0.47222222222222221</v>
      </c>
      <c r="I12" s="8">
        <v>0.4826388888888889</v>
      </c>
      <c r="J12" s="9">
        <f t="shared" si="0"/>
        <v>1.0416666666666685E-2</v>
      </c>
      <c r="K12" s="10">
        <f t="shared" si="1"/>
        <v>1.5000000000000027E-2</v>
      </c>
      <c r="L12" s="4"/>
      <c r="M12" s="4"/>
    </row>
    <row r="13" spans="2:13" ht="21" customHeight="1">
      <c r="B13" s="4"/>
      <c r="C13" s="4"/>
      <c r="D13" s="5" t="s">
        <v>25</v>
      </c>
      <c r="E13" s="6">
        <v>1000</v>
      </c>
      <c r="F13" s="6">
        <v>1000</v>
      </c>
      <c r="G13" s="7">
        <v>56</v>
      </c>
      <c r="H13" s="8">
        <v>0.4826388888888889</v>
      </c>
      <c r="I13" s="8">
        <v>0.48958333333333331</v>
      </c>
      <c r="J13" s="9">
        <f t="shared" si="0"/>
        <v>6.9444444444444198E-3</v>
      </c>
      <c r="K13" s="10">
        <f t="shared" si="1"/>
        <v>9.9999999999999638E-3</v>
      </c>
      <c r="L13" s="4"/>
      <c r="M13" s="4"/>
    </row>
    <row r="14" spans="2:13" ht="21" customHeight="1">
      <c r="B14" s="4"/>
      <c r="C14" s="4"/>
      <c r="D14" s="5" t="s">
        <v>26</v>
      </c>
      <c r="E14" s="6">
        <v>1000</v>
      </c>
      <c r="F14" s="6">
        <v>1000</v>
      </c>
      <c r="G14" s="7">
        <v>56</v>
      </c>
      <c r="H14" s="8">
        <v>0.48958333333333331</v>
      </c>
      <c r="I14" s="15">
        <v>0.5</v>
      </c>
      <c r="J14" s="9">
        <f t="shared" si="0"/>
        <v>1.0416666666666685E-2</v>
      </c>
      <c r="K14" s="10">
        <f t="shared" si="1"/>
        <v>1.5000000000000027E-2</v>
      </c>
      <c r="L14" s="4"/>
      <c r="M14" s="4"/>
    </row>
    <row r="15" spans="2:13" ht="21" customHeight="1">
      <c r="B15" s="4"/>
      <c r="C15" s="4"/>
      <c r="D15" s="5" t="s">
        <v>27</v>
      </c>
      <c r="E15" s="6">
        <v>1000</v>
      </c>
      <c r="F15" s="6">
        <v>960</v>
      </c>
      <c r="G15" s="7">
        <v>56</v>
      </c>
      <c r="H15" s="15">
        <v>0.5</v>
      </c>
      <c r="I15" s="15">
        <v>0.51388888888888884</v>
      </c>
      <c r="J15" s="9">
        <f t="shared" si="0"/>
        <v>1.388888888888884E-2</v>
      </c>
      <c r="K15" s="10">
        <f t="shared" si="1"/>
        <v>2.0833333333333259E-2</v>
      </c>
      <c r="L15" s="4"/>
      <c r="M15" s="4"/>
    </row>
    <row r="16" spans="2:13" ht="21" customHeight="1">
      <c r="B16" s="4"/>
      <c r="C16" s="13"/>
      <c r="D16" s="5" t="s">
        <v>28</v>
      </c>
      <c r="E16" s="6"/>
      <c r="F16" s="7">
        <v>33</v>
      </c>
      <c r="G16" s="7"/>
      <c r="H16" s="15"/>
      <c r="I16" s="15"/>
      <c r="J16" s="9"/>
      <c r="K16" s="10"/>
      <c r="L16" s="4"/>
      <c r="M16" s="4"/>
    </row>
    <row r="17" spans="2:13" ht="21" customHeight="1">
      <c r="B17" s="4"/>
      <c r="C17" s="13"/>
      <c r="D17" s="5" t="s">
        <v>29</v>
      </c>
      <c r="E17" s="6"/>
      <c r="F17" s="7">
        <v>12</v>
      </c>
      <c r="G17" s="7"/>
      <c r="H17" s="15"/>
      <c r="I17" s="15"/>
      <c r="J17" s="9"/>
      <c r="K17" s="10"/>
      <c r="L17" s="4"/>
      <c r="M17" s="4"/>
    </row>
    <row r="18" spans="2:13" ht="21" customHeight="1">
      <c r="B18" s="4"/>
      <c r="C18" s="4"/>
      <c r="D18" s="16" t="s">
        <v>30</v>
      </c>
      <c r="E18" s="6" t="s">
        <v>30</v>
      </c>
      <c r="F18" s="14" t="s">
        <v>30</v>
      </c>
      <c r="G18" s="7">
        <v>10</v>
      </c>
      <c r="H18" s="15">
        <v>0.51388888888888884</v>
      </c>
      <c r="I18" s="15">
        <v>0.55555555555555503</v>
      </c>
      <c r="J18" s="9">
        <f t="shared" si="0"/>
        <v>4.1666666666666186E-2</v>
      </c>
      <c r="K18" s="10" t="str">
        <f t="shared" si="1"/>
        <v/>
      </c>
      <c r="L18" s="4"/>
      <c r="M18" s="4" t="s">
        <v>31</v>
      </c>
    </row>
    <row r="19" spans="2:13" ht="23.25" customHeight="1">
      <c r="B19" s="17"/>
      <c r="C19" s="26" t="s">
        <v>32</v>
      </c>
      <c r="D19" s="5" t="s">
        <v>14</v>
      </c>
      <c r="E19" s="7">
        <v>1500</v>
      </c>
      <c r="F19" s="14">
        <v>1512</v>
      </c>
      <c r="G19" s="19" t="s">
        <v>33</v>
      </c>
      <c r="H19" s="15">
        <v>0.56597222222222221</v>
      </c>
      <c r="I19" s="15">
        <v>0.59375</v>
      </c>
      <c r="J19" s="9">
        <f t="shared" ref="J19:J29" si="2">I19-H19</f>
        <v>2.777777777777779E-2</v>
      </c>
      <c r="K19" s="20">
        <f t="shared" ref="K19:K21" si="3">IFERROR((J19*24*60)/F19,"")</f>
        <v>2.6455026455026464E-2</v>
      </c>
      <c r="L19" s="21"/>
      <c r="M19" s="4"/>
    </row>
    <row r="20" spans="2:13" ht="23.25" customHeight="1">
      <c r="B20" s="22"/>
      <c r="C20" s="23"/>
      <c r="D20" s="24" t="s">
        <v>17</v>
      </c>
      <c r="E20" s="7">
        <v>1500</v>
      </c>
      <c r="F20" s="14">
        <v>1512</v>
      </c>
      <c r="G20" s="19" t="s">
        <v>33</v>
      </c>
      <c r="H20" s="15">
        <v>0.59375</v>
      </c>
      <c r="I20" s="15">
        <v>0.61805555555555558</v>
      </c>
      <c r="J20" s="9">
        <f t="shared" si="2"/>
        <v>2.430555555555558E-2</v>
      </c>
      <c r="K20" s="20">
        <f t="shared" si="3"/>
        <v>2.3148148148148171E-2</v>
      </c>
      <c r="L20" s="21"/>
      <c r="M20" s="4"/>
    </row>
    <row r="21" spans="2:13" ht="23.25" customHeight="1">
      <c r="B21" s="22"/>
      <c r="C21" s="22"/>
      <c r="D21" s="5" t="s">
        <v>18</v>
      </c>
      <c r="E21" s="7">
        <v>1500</v>
      </c>
      <c r="F21" s="14">
        <v>1512</v>
      </c>
      <c r="G21" s="19" t="s">
        <v>34</v>
      </c>
      <c r="H21" s="15">
        <v>0.61805555555555558</v>
      </c>
      <c r="I21" s="15">
        <v>0.63888888888888884</v>
      </c>
      <c r="J21" s="9">
        <f t="shared" si="2"/>
        <v>2.0833333333333259E-2</v>
      </c>
      <c r="K21" s="20">
        <f t="shared" si="3"/>
        <v>1.9841269841269771E-2</v>
      </c>
      <c r="L21" s="21"/>
      <c r="M21" s="25"/>
    </row>
    <row r="22" spans="2:13" ht="24" customHeight="1">
      <c r="B22" s="4"/>
      <c r="C22" s="26"/>
      <c r="D22" s="5" t="s">
        <v>19</v>
      </c>
      <c r="E22" s="7">
        <v>1500</v>
      </c>
      <c r="F22" s="14">
        <v>1464</v>
      </c>
      <c r="G22" s="19" t="s">
        <v>34</v>
      </c>
      <c r="H22" s="15">
        <v>0.63888888888888884</v>
      </c>
      <c r="I22" s="15">
        <v>0.65972222222222221</v>
      </c>
      <c r="J22" s="9">
        <f t="shared" ref="J22:J23" si="4">I22-H22</f>
        <v>2.083333333333337E-2</v>
      </c>
      <c r="K22" s="20">
        <f t="shared" ref="K22:K23" si="5">IFERROR((J22*24*60)/F22,"")</f>
        <v>2.0491803278688561E-2</v>
      </c>
      <c r="L22" s="21"/>
      <c r="M22" s="25"/>
    </row>
    <row r="23" spans="2:13" ht="24" customHeight="1">
      <c r="B23" s="4"/>
      <c r="C23" s="26"/>
      <c r="D23" s="24" t="s">
        <v>20</v>
      </c>
      <c r="E23" s="7">
        <v>1500</v>
      </c>
      <c r="F23" s="14">
        <v>1488</v>
      </c>
      <c r="G23" s="19" t="s">
        <v>34</v>
      </c>
      <c r="H23" s="15">
        <v>0.65972222222222221</v>
      </c>
      <c r="I23" s="15">
        <v>0.6875</v>
      </c>
      <c r="J23" s="9">
        <f t="shared" si="4"/>
        <v>2.777777777777779E-2</v>
      </c>
      <c r="K23" s="20">
        <f t="shared" si="5"/>
        <v>2.6881720430107538E-2</v>
      </c>
      <c r="L23" s="21"/>
      <c r="M23" s="25"/>
    </row>
    <row r="24" spans="2:13" ht="24" customHeight="1">
      <c r="B24" s="4"/>
      <c r="C24" s="26"/>
      <c r="D24" s="5" t="s">
        <v>21</v>
      </c>
      <c r="E24" s="7">
        <v>1500</v>
      </c>
      <c r="F24" s="14">
        <v>1440</v>
      </c>
      <c r="G24" s="19" t="s">
        <v>34</v>
      </c>
      <c r="H24" s="15">
        <v>0.6875</v>
      </c>
      <c r="I24" s="15">
        <v>0.70486111111111116</v>
      </c>
      <c r="J24" s="9">
        <f t="shared" ref="J24:J25" si="6">I24-H24</f>
        <v>1.736111111111116E-2</v>
      </c>
      <c r="K24" s="20">
        <f t="shared" ref="K24:K25" si="7">IFERROR((J24*24*60)/F24,"")</f>
        <v>1.736111111111116E-2</v>
      </c>
      <c r="L24" s="21"/>
      <c r="M24" s="25"/>
    </row>
    <row r="25" spans="2:13" ht="24" customHeight="1">
      <c r="B25" s="4"/>
      <c r="C25" s="26"/>
      <c r="D25" s="24" t="s">
        <v>22</v>
      </c>
      <c r="E25" s="7">
        <v>1500</v>
      </c>
      <c r="F25" s="14">
        <v>1536</v>
      </c>
      <c r="G25" s="19" t="s">
        <v>34</v>
      </c>
      <c r="H25" s="15">
        <v>0.70486111111111116</v>
      </c>
      <c r="I25" s="15">
        <v>0.72916666666666663</v>
      </c>
      <c r="J25" s="9">
        <f t="shared" si="6"/>
        <v>2.4305555555555469E-2</v>
      </c>
      <c r="K25" s="20">
        <f t="shared" si="7"/>
        <v>2.2786458333333249E-2</v>
      </c>
      <c r="L25" s="21"/>
      <c r="M25" s="25"/>
    </row>
    <row r="26" spans="2:13" ht="24" customHeight="1">
      <c r="B26" s="4"/>
      <c r="C26" s="27"/>
      <c r="D26" s="24" t="s">
        <v>28</v>
      </c>
      <c r="E26" s="6"/>
      <c r="F26" s="14">
        <v>16</v>
      </c>
      <c r="G26" s="19"/>
      <c r="H26" s="15"/>
      <c r="I26" s="15"/>
      <c r="J26" s="9"/>
      <c r="K26" s="20"/>
      <c r="L26" s="21"/>
      <c r="M26" s="25"/>
    </row>
    <row r="27" spans="2:13" ht="24" customHeight="1">
      <c r="B27" s="4"/>
      <c r="C27" s="27"/>
      <c r="D27" s="5" t="s">
        <v>29</v>
      </c>
      <c r="E27" s="6"/>
      <c r="F27" s="14">
        <v>10</v>
      </c>
      <c r="G27" s="19"/>
      <c r="H27" s="15"/>
      <c r="I27" s="15"/>
      <c r="J27" s="9"/>
      <c r="K27" s="20"/>
      <c r="L27" s="21"/>
      <c r="M27" s="25"/>
    </row>
    <row r="28" spans="2:13" ht="24" customHeight="1">
      <c r="B28" s="4"/>
      <c r="C28" s="22"/>
      <c r="D28" s="24" t="s">
        <v>30</v>
      </c>
      <c r="E28" s="24" t="s">
        <v>30</v>
      </c>
      <c r="F28" s="24" t="s">
        <v>30</v>
      </c>
      <c r="G28" s="19" t="s">
        <v>34</v>
      </c>
      <c r="H28" s="15">
        <v>0.72916666666666663</v>
      </c>
      <c r="I28" s="15">
        <v>0.73611111111111116</v>
      </c>
      <c r="J28" s="9">
        <f t="shared" si="2"/>
        <v>6.9444444444445308E-3</v>
      </c>
      <c r="K28" s="20" t="str">
        <f>IFERROR((J28*24*60)/#REF!,"")</f>
        <v/>
      </c>
      <c r="L28" s="21"/>
      <c r="M28" s="25" t="s">
        <v>31</v>
      </c>
    </row>
    <row r="29" spans="2:13" ht="24" customHeight="1">
      <c r="B29" s="4"/>
      <c r="C29" s="22" t="s">
        <v>35</v>
      </c>
      <c r="D29" s="24" t="s">
        <v>14</v>
      </c>
      <c r="E29" s="7">
        <v>1500</v>
      </c>
      <c r="F29" s="7">
        <v>1440</v>
      </c>
      <c r="G29" s="19" t="s">
        <v>34</v>
      </c>
      <c r="H29" s="15">
        <v>0.73611111111111116</v>
      </c>
      <c r="I29" s="15">
        <v>0.75694444444444442</v>
      </c>
      <c r="J29" s="9">
        <f t="shared" si="2"/>
        <v>2.0833333333333259E-2</v>
      </c>
      <c r="K29" s="20">
        <f>IFERROR((J29*24*60)/F29,"")</f>
        <v>2.0833333333333259E-2</v>
      </c>
      <c r="L29" s="21"/>
      <c r="M29" s="25"/>
    </row>
    <row r="30" spans="2:13" ht="24" customHeight="1">
      <c r="B30" s="4"/>
      <c r="C30" s="22"/>
      <c r="D30" s="24" t="s">
        <v>17</v>
      </c>
      <c r="E30" s="7">
        <v>1500</v>
      </c>
      <c r="F30" s="7">
        <v>1440</v>
      </c>
      <c r="G30" s="19" t="s">
        <v>34</v>
      </c>
      <c r="H30" s="15">
        <v>0.75694444444444442</v>
      </c>
      <c r="I30" s="15">
        <v>0.77430555555555558</v>
      </c>
      <c r="J30" s="9">
        <f>I30-H30</f>
        <v>1.736111111111116E-2</v>
      </c>
      <c r="K30" s="20">
        <f>IFERROR((J30*24*60)/F30,"")</f>
        <v>1.736111111111116E-2</v>
      </c>
      <c r="L30" s="21"/>
      <c r="M30" s="25"/>
    </row>
    <row r="31" spans="2:13" ht="24" customHeight="1">
      <c r="B31" s="21"/>
      <c r="C31" s="22"/>
      <c r="D31" s="24" t="s">
        <v>18</v>
      </c>
      <c r="E31" s="7">
        <v>1500</v>
      </c>
      <c r="F31" s="7">
        <v>1440</v>
      </c>
      <c r="G31" s="19" t="s">
        <v>34</v>
      </c>
      <c r="H31" s="15">
        <v>0.77430555555555558</v>
      </c>
      <c r="I31" s="15">
        <v>0.79166666666666663</v>
      </c>
      <c r="J31" s="9">
        <f t="shared" ref="J31:J33" si="8">I31-H31</f>
        <v>1.7361111111111049E-2</v>
      </c>
      <c r="K31" s="20">
        <f t="shared" ref="K31:K33" si="9">IFERROR((J31*24*60)/F31,"")</f>
        <v>1.7361111111111049E-2</v>
      </c>
      <c r="L31" s="21"/>
      <c r="M31" s="25"/>
    </row>
    <row r="32" spans="2:13" ht="24" customHeight="1">
      <c r="B32" s="21"/>
      <c r="C32" s="22"/>
      <c r="D32" s="24" t="s">
        <v>19</v>
      </c>
      <c r="E32" s="7">
        <v>1500</v>
      </c>
      <c r="F32" s="7">
        <v>1440</v>
      </c>
      <c r="G32" s="19" t="s">
        <v>34</v>
      </c>
      <c r="H32" s="15">
        <v>0.79166666666666663</v>
      </c>
      <c r="I32" s="15">
        <v>0.8125</v>
      </c>
      <c r="J32" s="9">
        <f t="shared" si="8"/>
        <v>2.083333333333337E-2</v>
      </c>
      <c r="K32" s="20">
        <f t="shared" si="9"/>
        <v>2.083333333333337E-2</v>
      </c>
      <c r="L32" s="21"/>
      <c r="M32" s="25"/>
    </row>
    <row r="33" spans="2:13" ht="24" customHeight="1">
      <c r="B33" s="21"/>
      <c r="C33" s="22"/>
      <c r="D33" s="24" t="s">
        <v>20</v>
      </c>
      <c r="E33" s="7">
        <v>1500</v>
      </c>
      <c r="F33" s="7">
        <v>1680</v>
      </c>
      <c r="G33" s="19" t="s">
        <v>34</v>
      </c>
      <c r="H33" s="15">
        <v>0.8125</v>
      </c>
      <c r="I33" s="15">
        <v>0.83333333333333337</v>
      </c>
      <c r="J33" s="9">
        <f t="shared" si="8"/>
        <v>2.083333333333337E-2</v>
      </c>
      <c r="K33" s="20">
        <f t="shared" si="9"/>
        <v>1.7857142857142887E-2</v>
      </c>
      <c r="L33" s="21"/>
      <c r="M33" s="25"/>
    </row>
    <row r="34" spans="2:13" ht="24" customHeight="1">
      <c r="B34" s="21"/>
      <c r="C34" s="4"/>
      <c r="D34" s="24" t="s">
        <v>28</v>
      </c>
      <c r="E34" s="7"/>
      <c r="F34" s="7">
        <v>12</v>
      </c>
      <c r="G34" s="7"/>
      <c r="H34" s="15"/>
      <c r="I34" s="15"/>
      <c r="J34" s="9"/>
      <c r="K34" s="20"/>
      <c r="L34" s="21"/>
      <c r="M34" s="25"/>
    </row>
    <row r="35" spans="2:13" ht="24" customHeight="1">
      <c r="B35" s="21"/>
      <c r="C35" s="4"/>
      <c r="D35" s="24" t="s">
        <v>29</v>
      </c>
      <c r="E35" s="7"/>
      <c r="F35" s="7">
        <v>8</v>
      </c>
      <c r="G35" s="7"/>
      <c r="H35" s="15"/>
      <c r="I35" s="15"/>
      <c r="J35" s="9"/>
      <c r="K35" s="20"/>
      <c r="L35" s="21"/>
      <c r="M35" s="25"/>
    </row>
    <row r="36" spans="2:13" ht="24" customHeight="1">
      <c r="B36" s="4"/>
      <c r="C36" s="28" t="s">
        <v>36</v>
      </c>
      <c r="D36" s="29"/>
      <c r="E36" s="30">
        <f>SUM(E4:E35)</f>
        <v>30000</v>
      </c>
      <c r="F36" s="30">
        <f>SUM(F4:F35)</f>
        <v>29955</v>
      </c>
      <c r="I36" s="31"/>
    </row>
    <row r="37" spans="2:13" ht="24" customHeight="1">
      <c r="C37" s="32"/>
      <c r="I37" s="31"/>
    </row>
    <row r="38" spans="2:13" ht="24" customHeight="1">
      <c r="B38" s="32"/>
      <c r="I38" s="31"/>
    </row>
    <row r="39" spans="2:13" ht="20.25" customHeight="1">
      <c r="I39" s="31"/>
    </row>
    <row r="40" spans="2:13" ht="20.25" customHeight="1">
      <c r="I40" s="31"/>
    </row>
    <row r="41" spans="2:13" ht="20.25" customHeight="1"/>
    <row r="42" spans="2:13" ht="20.25" customHeight="1"/>
    <row r="43" spans="2:13" ht="20.25" customHeight="1">
      <c r="L43" s="3" t="s">
        <v>37</v>
      </c>
    </row>
    <row r="44" spans="2:13" ht="20.25" customHeight="1"/>
    <row r="45" spans="2:13" ht="20.25" customHeight="1"/>
    <row r="46" spans="2:13" ht="21" customHeight="1"/>
    <row r="47" spans="2:13" ht="21" customHeight="1"/>
    <row r="48" spans="2:13" ht="18" customHeight="1"/>
    <row r="49" spans="2:13" ht="18" customHeight="1">
      <c r="I49" s="33"/>
    </row>
    <row r="50" spans="2:13" ht="18" customHeight="1"/>
    <row r="51" spans="2:13" ht="18" customHeight="1"/>
    <row r="52" spans="2:13" ht="18" customHeight="1"/>
    <row r="53" spans="2:13" ht="18" customHeight="1"/>
    <row r="54" spans="2:13" ht="18" customHeight="1"/>
    <row r="55" spans="2:13" ht="18" customHeight="1"/>
    <row r="56" spans="2:13" ht="18" customHeight="1"/>
    <row r="62" spans="2:13" s="34" customFormat="1" ht="27.6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 r:id="rId1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3FA8-45D6-4B49-AA9B-D820F6D5FB17}">
  <dimension ref="B2:M68"/>
  <sheetViews>
    <sheetView topLeftCell="A20" zoomScale="80" zoomScaleNormal="80" workbookViewId="0">
      <selection activeCell="H19" sqref="H19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46084</v>
      </c>
      <c r="C4" s="18" t="s">
        <v>38</v>
      </c>
      <c r="D4" s="5" t="s">
        <v>14</v>
      </c>
      <c r="E4" s="6">
        <v>1000</v>
      </c>
      <c r="F4" s="6">
        <v>1026</v>
      </c>
      <c r="G4" s="7">
        <v>58</v>
      </c>
      <c r="H4" s="8">
        <v>0.38541666666666669</v>
      </c>
      <c r="I4" s="8">
        <v>0.39930555555555558</v>
      </c>
      <c r="J4" s="9">
        <f>I4-H4</f>
        <v>1.3888888888888895E-2</v>
      </c>
      <c r="K4" s="10">
        <f>IFERROR((J4*24*60)/F4,"")</f>
        <v>1.9493177387914236E-2</v>
      </c>
      <c r="L4" s="11"/>
      <c r="M4" s="4" t="s">
        <v>15</v>
      </c>
    </row>
    <row r="5" spans="2:13" ht="21" customHeight="1">
      <c r="B5" s="22" t="s">
        <v>39</v>
      </c>
      <c r="C5" s="4"/>
      <c r="D5" s="5" t="s">
        <v>17</v>
      </c>
      <c r="E5" s="6">
        <v>1000</v>
      </c>
      <c r="F5" s="6">
        <v>999</v>
      </c>
      <c r="G5" s="7">
        <v>58</v>
      </c>
      <c r="H5" s="8">
        <v>0.39930555555555558</v>
      </c>
      <c r="I5" s="8">
        <v>0.41319444444444442</v>
      </c>
      <c r="J5" s="9">
        <f>I5-H5</f>
        <v>1.388888888888884E-2</v>
      </c>
      <c r="K5" s="10">
        <f>IFERROR((J5*24*60)/F5,"")</f>
        <v>2.002002002001995E-2</v>
      </c>
      <c r="L5" s="12"/>
      <c r="M5" s="4"/>
    </row>
    <row r="6" spans="2:13" ht="21" customHeight="1">
      <c r="B6" s="4"/>
      <c r="C6" s="4"/>
      <c r="D6" s="5" t="s">
        <v>18</v>
      </c>
      <c r="E6" s="6">
        <v>1000</v>
      </c>
      <c r="F6" s="6">
        <v>972</v>
      </c>
      <c r="G6" s="7">
        <v>58</v>
      </c>
      <c r="H6" s="8">
        <v>0.41319444444444442</v>
      </c>
      <c r="I6" s="8">
        <v>0.4236111111111111</v>
      </c>
      <c r="J6" s="9">
        <f>I6-H6</f>
        <v>1.0416666666666685E-2</v>
      </c>
      <c r="K6" s="10">
        <f>IFERROR((J6*24*60)/F6,"")</f>
        <v>1.5432098765432126E-2</v>
      </c>
      <c r="L6" s="4"/>
      <c r="M6" s="4"/>
    </row>
    <row r="7" spans="2:13" ht="21" customHeight="1">
      <c r="B7" s="4"/>
      <c r="C7" s="4"/>
      <c r="D7" s="5" t="s">
        <v>19</v>
      </c>
      <c r="E7" s="6">
        <v>1000</v>
      </c>
      <c r="F7" s="6">
        <v>1026</v>
      </c>
      <c r="G7" s="7">
        <v>58</v>
      </c>
      <c r="H7" s="8">
        <v>0.4236111111111111</v>
      </c>
      <c r="I7" s="8">
        <v>0.43402777777777779</v>
      </c>
      <c r="J7" s="9">
        <f>I7-H7</f>
        <v>1.0416666666666685E-2</v>
      </c>
      <c r="K7" s="10">
        <f>IFERROR((J7*24*60)/F7,"")</f>
        <v>1.4619883040935698E-2</v>
      </c>
      <c r="L7" s="4"/>
      <c r="M7" s="4"/>
    </row>
    <row r="8" spans="2:13" ht="21" customHeight="1">
      <c r="B8" s="4"/>
      <c r="C8" s="4"/>
      <c r="D8" s="5" t="s">
        <v>20</v>
      </c>
      <c r="E8" s="6">
        <v>1000</v>
      </c>
      <c r="F8" s="6">
        <v>1026</v>
      </c>
      <c r="G8" s="7">
        <v>58</v>
      </c>
      <c r="H8" s="8">
        <v>0.43402777777777779</v>
      </c>
      <c r="I8" s="8">
        <v>0.44444444444444442</v>
      </c>
      <c r="J8" s="9">
        <f t="shared" ref="J8:J27" si="0">I8-H8</f>
        <v>1.041666666666663E-2</v>
      </c>
      <c r="K8" s="10">
        <f t="shared" ref="K8:K24" si="1">IFERROR((J8*24*60)/F8,"")</f>
        <v>1.4619883040935621E-2</v>
      </c>
      <c r="L8" s="4"/>
      <c r="M8" s="4"/>
    </row>
    <row r="9" spans="2:13" ht="21" customHeight="1">
      <c r="B9" s="4"/>
      <c r="C9" s="4"/>
      <c r="D9" s="5" t="s">
        <v>21</v>
      </c>
      <c r="E9" s="6">
        <v>1000</v>
      </c>
      <c r="F9" s="6">
        <v>1026</v>
      </c>
      <c r="G9" s="7">
        <v>58</v>
      </c>
      <c r="H9" s="8">
        <v>0.44444444444444442</v>
      </c>
      <c r="I9" s="8">
        <v>0.4548611111111111</v>
      </c>
      <c r="J9" s="9">
        <f t="shared" si="0"/>
        <v>1.0416666666666685E-2</v>
      </c>
      <c r="K9" s="10">
        <f t="shared" si="1"/>
        <v>1.4619883040935698E-2</v>
      </c>
      <c r="L9" s="4"/>
      <c r="M9" s="4"/>
    </row>
    <row r="10" spans="2:13" ht="21" customHeight="1">
      <c r="B10" s="4"/>
      <c r="C10" s="4"/>
      <c r="D10" s="5" t="s">
        <v>22</v>
      </c>
      <c r="E10" s="6">
        <v>1000</v>
      </c>
      <c r="F10" s="6">
        <v>999</v>
      </c>
      <c r="G10" s="7">
        <v>58</v>
      </c>
      <c r="H10" s="8">
        <v>0.4548611111111111</v>
      </c>
      <c r="I10" s="8">
        <v>0.46527777777777779</v>
      </c>
      <c r="J10" s="9">
        <f t="shared" si="0"/>
        <v>1.0416666666666685E-2</v>
      </c>
      <c r="K10" s="10">
        <f t="shared" si="1"/>
        <v>1.5015015015015041E-2</v>
      </c>
      <c r="L10" s="4"/>
      <c r="M10" s="4"/>
    </row>
    <row r="11" spans="2:13" ht="21" customHeight="1">
      <c r="B11" s="4"/>
      <c r="C11" s="4"/>
      <c r="D11" s="5" t="s">
        <v>23</v>
      </c>
      <c r="E11" s="6">
        <v>1000</v>
      </c>
      <c r="F11" s="6">
        <v>999</v>
      </c>
      <c r="G11" s="7">
        <v>58</v>
      </c>
      <c r="H11" s="8">
        <v>0.46527777777777779</v>
      </c>
      <c r="I11" s="8">
        <v>0.47569444444444442</v>
      </c>
      <c r="J11" s="9">
        <f t="shared" si="0"/>
        <v>1.041666666666663E-2</v>
      </c>
      <c r="K11" s="10">
        <f t="shared" si="1"/>
        <v>1.5015015015014961E-2</v>
      </c>
      <c r="L11" s="4"/>
      <c r="M11" s="4"/>
    </row>
    <row r="12" spans="2:13" ht="21" customHeight="1">
      <c r="B12" s="4"/>
      <c r="C12" s="4"/>
      <c r="D12" s="5" t="s">
        <v>24</v>
      </c>
      <c r="E12" s="6">
        <v>1000</v>
      </c>
      <c r="F12" s="6">
        <v>1107</v>
      </c>
      <c r="G12" s="7">
        <v>58</v>
      </c>
      <c r="H12" s="8">
        <v>0.47569444444444442</v>
      </c>
      <c r="I12" s="8">
        <v>0.4861111111111111</v>
      </c>
      <c r="J12" s="9">
        <f t="shared" si="0"/>
        <v>1.0416666666666685E-2</v>
      </c>
      <c r="K12" s="10">
        <f t="shared" si="1"/>
        <v>1.3550135501355037E-2</v>
      </c>
      <c r="L12" s="4"/>
      <c r="M12" s="4"/>
    </row>
    <row r="13" spans="2:13" ht="21" customHeight="1">
      <c r="B13" s="4"/>
      <c r="C13" s="4"/>
      <c r="D13" s="5" t="s">
        <v>25</v>
      </c>
      <c r="E13" s="6">
        <v>1000</v>
      </c>
      <c r="F13" s="6">
        <v>1107</v>
      </c>
      <c r="G13" s="7">
        <v>58</v>
      </c>
      <c r="H13" s="8">
        <v>0.4861111111111111</v>
      </c>
      <c r="I13" s="8">
        <v>0.5</v>
      </c>
      <c r="J13" s="9">
        <f t="shared" si="0"/>
        <v>1.3888888888888895E-2</v>
      </c>
      <c r="K13" s="10">
        <f t="shared" si="1"/>
        <v>1.8066847335140024E-2</v>
      </c>
      <c r="L13" s="4"/>
      <c r="M13" s="4"/>
    </row>
    <row r="14" spans="2:13" ht="21" customHeight="1">
      <c r="B14" s="4"/>
      <c r="C14" s="4"/>
      <c r="D14" s="5" t="s">
        <v>26</v>
      </c>
      <c r="E14" s="6">
        <v>1000</v>
      </c>
      <c r="F14" s="6">
        <v>1161</v>
      </c>
      <c r="G14" s="7">
        <v>58</v>
      </c>
      <c r="H14" s="8">
        <v>0.5</v>
      </c>
      <c r="I14" s="8">
        <v>0.51736111111111116</v>
      </c>
      <c r="J14" s="9">
        <f t="shared" si="0"/>
        <v>1.736111111111116E-2</v>
      </c>
      <c r="K14" s="10">
        <f t="shared" si="1"/>
        <v>2.153316106804485E-2</v>
      </c>
      <c r="L14" s="4"/>
      <c r="M14" s="4"/>
    </row>
    <row r="15" spans="2:13" ht="21" customHeight="1">
      <c r="B15" s="4"/>
      <c r="C15" s="13"/>
      <c r="D15" s="5" t="s">
        <v>28</v>
      </c>
      <c r="E15" s="6"/>
      <c r="F15" s="7">
        <v>0</v>
      </c>
      <c r="G15" s="7"/>
      <c r="H15" s="15"/>
      <c r="I15" s="15"/>
      <c r="J15" s="9"/>
      <c r="K15" s="10" t="str">
        <f t="shared" si="1"/>
        <v/>
      </c>
      <c r="L15" s="4"/>
      <c r="M15" s="4"/>
    </row>
    <row r="16" spans="2:13" ht="21" customHeight="1">
      <c r="B16" s="4"/>
      <c r="C16" s="13"/>
      <c r="D16" s="5" t="s">
        <v>29</v>
      </c>
      <c r="E16" s="6"/>
      <c r="F16" s="7">
        <v>12</v>
      </c>
      <c r="G16" s="7"/>
      <c r="H16" s="15"/>
      <c r="I16" s="15"/>
      <c r="J16" s="9"/>
      <c r="K16" s="10"/>
      <c r="L16" s="4"/>
      <c r="M16" s="4"/>
    </row>
    <row r="17" spans="2:13" ht="21" customHeight="1">
      <c r="B17" s="4"/>
      <c r="C17" s="4"/>
      <c r="D17" s="16" t="s">
        <v>30</v>
      </c>
      <c r="E17" s="6" t="s">
        <v>30</v>
      </c>
      <c r="F17" s="14" t="s">
        <v>30</v>
      </c>
      <c r="G17" s="7">
        <v>10</v>
      </c>
      <c r="H17" s="8">
        <v>0.51736111111111116</v>
      </c>
      <c r="I17" s="8">
        <v>0.55902777777777779</v>
      </c>
      <c r="J17" s="9">
        <f t="shared" si="0"/>
        <v>4.166666666666663E-2</v>
      </c>
      <c r="K17" s="10" t="str">
        <f t="shared" si="1"/>
        <v/>
      </c>
      <c r="L17" s="4"/>
      <c r="M17" s="4" t="s">
        <v>31</v>
      </c>
    </row>
    <row r="18" spans="2:13" ht="23.25" customHeight="1">
      <c r="B18" s="17"/>
      <c r="C18" s="26" t="s">
        <v>32</v>
      </c>
      <c r="D18" s="5" t="s">
        <v>14</v>
      </c>
      <c r="E18" s="7">
        <v>1500</v>
      </c>
      <c r="F18" s="14">
        <v>1512</v>
      </c>
      <c r="G18" s="19" t="s">
        <v>40</v>
      </c>
      <c r="H18" s="8">
        <v>0.57291666666666663</v>
      </c>
      <c r="I18" s="8">
        <v>0.60069444444444442</v>
      </c>
      <c r="J18" s="9">
        <f t="shared" si="0"/>
        <v>2.777777777777779E-2</v>
      </c>
      <c r="K18" s="20">
        <f t="shared" si="1"/>
        <v>2.6455026455026464E-2</v>
      </c>
      <c r="L18" s="21"/>
      <c r="M18" s="4" t="s">
        <v>41</v>
      </c>
    </row>
    <row r="19" spans="2:13" ht="23.25" customHeight="1">
      <c r="B19" s="22"/>
      <c r="C19" s="23"/>
      <c r="D19" s="24" t="s">
        <v>17</v>
      </c>
      <c r="E19" s="7">
        <v>1500</v>
      </c>
      <c r="F19" s="14">
        <v>1512</v>
      </c>
      <c r="G19" s="19" t="s">
        <v>40</v>
      </c>
      <c r="H19" s="8">
        <v>0.60069444444444442</v>
      </c>
      <c r="I19" s="8">
        <v>0.625</v>
      </c>
      <c r="J19" s="9">
        <f t="shared" si="0"/>
        <v>2.430555555555558E-2</v>
      </c>
      <c r="K19" s="20">
        <f t="shared" si="1"/>
        <v>2.3148148148148171E-2</v>
      </c>
      <c r="L19" s="21"/>
      <c r="M19" s="4"/>
    </row>
    <row r="20" spans="2:13" ht="23.25" customHeight="1">
      <c r="B20" s="22"/>
      <c r="C20" s="22"/>
      <c r="D20" s="5" t="s">
        <v>18</v>
      </c>
      <c r="E20" s="7">
        <v>1500</v>
      </c>
      <c r="F20" s="14">
        <v>1512</v>
      </c>
      <c r="G20" s="7">
        <v>57</v>
      </c>
      <c r="H20" s="8">
        <v>0.625</v>
      </c>
      <c r="I20" s="8">
        <v>0.64930555555555558</v>
      </c>
      <c r="J20" s="9">
        <f t="shared" si="0"/>
        <v>2.430555555555558E-2</v>
      </c>
      <c r="K20" s="20">
        <f t="shared" si="1"/>
        <v>2.3148148148148171E-2</v>
      </c>
      <c r="L20" s="21"/>
      <c r="M20" s="25"/>
    </row>
    <row r="21" spans="2:13" ht="24" customHeight="1">
      <c r="B21" s="4"/>
      <c r="C21" s="26"/>
      <c r="D21" s="5" t="s">
        <v>19</v>
      </c>
      <c r="E21" s="7">
        <v>1500</v>
      </c>
      <c r="F21" s="14">
        <v>1464</v>
      </c>
      <c r="G21" s="7">
        <v>57</v>
      </c>
      <c r="H21" s="8">
        <v>0.64930555555555558</v>
      </c>
      <c r="I21" s="8">
        <v>0.67361111111111116</v>
      </c>
      <c r="J21" s="9">
        <f t="shared" si="0"/>
        <v>2.430555555555558E-2</v>
      </c>
      <c r="K21" s="20">
        <f t="shared" si="1"/>
        <v>2.3907103825136635E-2</v>
      </c>
      <c r="L21" s="21"/>
      <c r="M21" s="25"/>
    </row>
    <row r="22" spans="2:13" ht="24" customHeight="1">
      <c r="B22" s="4"/>
      <c r="C22" s="26"/>
      <c r="D22" s="24" t="s">
        <v>20</v>
      </c>
      <c r="E22" s="7">
        <v>1500</v>
      </c>
      <c r="F22" s="14">
        <v>1488</v>
      </c>
      <c r="G22" s="7">
        <v>57</v>
      </c>
      <c r="H22" s="8">
        <v>0.67361111111111116</v>
      </c>
      <c r="I22" s="8">
        <v>0.69791666666666663</v>
      </c>
      <c r="J22" s="9">
        <f t="shared" si="0"/>
        <v>2.4305555555555469E-2</v>
      </c>
      <c r="K22" s="20">
        <f t="shared" si="1"/>
        <v>2.3521505376343999E-2</v>
      </c>
      <c r="L22" s="21"/>
      <c r="M22" s="25"/>
    </row>
    <row r="23" spans="2:13" ht="24" customHeight="1">
      <c r="B23" s="4"/>
      <c r="C23" s="26"/>
      <c r="D23" s="5" t="s">
        <v>21</v>
      </c>
      <c r="E23" s="7">
        <v>1500</v>
      </c>
      <c r="F23" s="14">
        <v>1488</v>
      </c>
      <c r="G23" s="7">
        <v>57</v>
      </c>
      <c r="H23" s="8">
        <v>0.69791666666666663</v>
      </c>
      <c r="I23" s="8">
        <v>0.71875</v>
      </c>
      <c r="J23" s="9">
        <f t="shared" si="0"/>
        <v>2.083333333333337E-2</v>
      </c>
      <c r="K23" s="20">
        <f>IFERROR((J23*24*60)/F23,"")</f>
        <v>2.0161290322580679E-2</v>
      </c>
      <c r="L23" s="21"/>
      <c r="M23" s="25"/>
    </row>
    <row r="24" spans="2:13" ht="24" customHeight="1">
      <c r="B24" s="4"/>
      <c r="C24" s="26"/>
      <c r="D24" s="24" t="s">
        <v>22</v>
      </c>
      <c r="E24" s="7">
        <v>1500</v>
      </c>
      <c r="F24" s="14">
        <v>1440</v>
      </c>
      <c r="G24" s="7">
        <v>57</v>
      </c>
      <c r="H24" s="8">
        <v>0.71875</v>
      </c>
      <c r="I24" s="8">
        <v>0.74305555555555558</v>
      </c>
      <c r="J24" s="9">
        <f t="shared" si="0"/>
        <v>2.430555555555558E-2</v>
      </c>
      <c r="K24" s="20">
        <f t="shared" si="1"/>
        <v>2.430555555555558E-2</v>
      </c>
      <c r="L24" s="21"/>
      <c r="M24" s="25"/>
    </row>
    <row r="25" spans="2:13" ht="24" customHeight="1">
      <c r="B25" s="4"/>
      <c r="C25" s="27"/>
      <c r="D25" s="24" t="s">
        <v>28</v>
      </c>
      <c r="E25" s="6"/>
      <c r="F25" s="14">
        <v>11</v>
      </c>
      <c r="G25" s="19"/>
      <c r="H25" s="15"/>
      <c r="I25" s="15"/>
      <c r="J25" s="9"/>
      <c r="K25" s="20"/>
      <c r="L25" s="21"/>
      <c r="M25" s="25"/>
    </row>
    <row r="26" spans="2:13" ht="24" customHeight="1">
      <c r="B26" s="4"/>
      <c r="C26" s="27"/>
      <c r="D26" s="5" t="s">
        <v>29</v>
      </c>
      <c r="E26" s="6"/>
      <c r="F26" s="14">
        <v>10</v>
      </c>
      <c r="G26" s="19"/>
      <c r="H26" s="15"/>
      <c r="I26" s="15"/>
      <c r="J26" s="9"/>
      <c r="K26" s="20"/>
      <c r="L26" s="21"/>
      <c r="M26" s="25"/>
    </row>
    <row r="27" spans="2:13" ht="24" customHeight="1">
      <c r="B27" s="4"/>
      <c r="C27" s="22"/>
      <c r="D27" s="24" t="s">
        <v>30</v>
      </c>
      <c r="E27" s="24" t="s">
        <v>30</v>
      </c>
      <c r="F27" s="24" t="s">
        <v>30</v>
      </c>
      <c r="G27" s="7">
        <v>56</v>
      </c>
      <c r="H27" s="8">
        <v>0.74305555555555558</v>
      </c>
      <c r="I27" s="8">
        <v>0.75694444444444442</v>
      </c>
      <c r="J27" s="9">
        <f t="shared" si="0"/>
        <v>1.388888888888884E-2</v>
      </c>
      <c r="K27" s="20" t="str">
        <f t="shared" ref="K27:K28" si="2">IFERROR((J27*24*60)/F27,"")</f>
        <v/>
      </c>
      <c r="L27" s="21"/>
      <c r="M27" s="25" t="s">
        <v>42</v>
      </c>
    </row>
    <row r="28" spans="2:13" ht="24" customHeight="1">
      <c r="B28" s="4"/>
      <c r="C28" s="35" t="s">
        <v>43</v>
      </c>
      <c r="D28" s="24" t="s">
        <v>14</v>
      </c>
      <c r="E28" s="7">
        <v>1500</v>
      </c>
      <c r="F28" s="14">
        <v>1512</v>
      </c>
      <c r="G28" s="7">
        <v>56</v>
      </c>
      <c r="H28" s="8">
        <v>0.75694444444444442</v>
      </c>
      <c r="I28" s="15">
        <v>0.78472222222222221</v>
      </c>
      <c r="J28" s="9">
        <f t="shared" ref="J28" si="3">I28-H28</f>
        <v>2.777777777777779E-2</v>
      </c>
      <c r="K28" s="20">
        <f t="shared" si="2"/>
        <v>2.6455026455026464E-2</v>
      </c>
      <c r="L28" s="21"/>
      <c r="M28" s="25"/>
    </row>
    <row r="29" spans="2:13" ht="24" customHeight="1">
      <c r="B29" s="4"/>
      <c r="C29" s="26"/>
      <c r="D29" s="24" t="s">
        <v>17</v>
      </c>
      <c r="E29" s="7">
        <v>1500</v>
      </c>
      <c r="F29" s="14">
        <v>1464</v>
      </c>
      <c r="G29" s="7">
        <v>56</v>
      </c>
      <c r="H29" s="15">
        <v>0.78472222222222221</v>
      </c>
      <c r="I29" s="15">
        <v>0.80555555555555558</v>
      </c>
      <c r="J29" s="9">
        <f>I29-H29</f>
        <v>2.083333333333337E-2</v>
      </c>
      <c r="K29" s="20">
        <f>IFERROR((J29*24*60)/F29,"")</f>
        <v>2.0491803278688561E-2</v>
      </c>
      <c r="L29" s="21"/>
      <c r="M29" s="25"/>
    </row>
    <row r="30" spans="2:13" ht="24" customHeight="1">
      <c r="B30" s="4"/>
      <c r="C30" s="22"/>
      <c r="D30" s="24" t="s">
        <v>28</v>
      </c>
      <c r="E30" s="7"/>
      <c r="F30" s="7">
        <v>12</v>
      </c>
      <c r="G30" s="19"/>
      <c r="H30" s="15"/>
      <c r="I30" s="15"/>
      <c r="J30" s="9"/>
      <c r="K30" s="20"/>
      <c r="L30" s="21"/>
      <c r="M30" s="25"/>
    </row>
    <row r="31" spans="2:13" ht="24" customHeight="1">
      <c r="B31" s="21"/>
      <c r="C31" s="22"/>
      <c r="D31" s="24" t="s">
        <v>29</v>
      </c>
      <c r="E31" s="7"/>
      <c r="F31" s="7">
        <v>6</v>
      </c>
      <c r="G31" s="19"/>
      <c r="H31" s="15"/>
      <c r="I31" s="15"/>
      <c r="J31" s="9"/>
      <c r="K31" s="20"/>
      <c r="L31" s="21"/>
      <c r="M31" s="25"/>
    </row>
    <row r="32" spans="2:13" ht="24" customHeight="1">
      <c r="B32" s="21"/>
      <c r="C32" s="22"/>
      <c r="D32" s="24" t="s">
        <v>44</v>
      </c>
      <c r="E32" s="7"/>
      <c r="F32" s="7">
        <v>15</v>
      </c>
      <c r="G32" s="19"/>
      <c r="H32" s="15"/>
      <c r="I32" s="15"/>
      <c r="J32" s="9"/>
      <c r="K32" s="20"/>
      <c r="L32" s="21"/>
      <c r="M32" s="25"/>
    </row>
    <row r="33" spans="2:13" ht="24" customHeight="1">
      <c r="B33" s="21"/>
      <c r="C33" s="22"/>
      <c r="D33" s="24" t="s">
        <v>30</v>
      </c>
      <c r="E33" s="24" t="s">
        <v>30</v>
      </c>
      <c r="F33" s="24" t="s">
        <v>30</v>
      </c>
      <c r="G33" s="7">
        <v>56</v>
      </c>
      <c r="H33" s="15">
        <v>0.80555555555555558</v>
      </c>
      <c r="I33" s="15">
        <v>0.8125</v>
      </c>
      <c r="J33" s="9">
        <f t="shared" ref="J33:J37" si="4">I33-H33</f>
        <v>6.9444444444444198E-3</v>
      </c>
      <c r="K33" s="20"/>
      <c r="L33" s="21"/>
      <c r="M33" s="25"/>
    </row>
    <row r="34" spans="2:13" ht="24" customHeight="1">
      <c r="B34" s="21"/>
      <c r="C34" s="22" t="s">
        <v>45</v>
      </c>
      <c r="D34" s="5" t="s">
        <v>14</v>
      </c>
      <c r="E34" s="7">
        <v>1500</v>
      </c>
      <c r="F34" s="14">
        <v>1480</v>
      </c>
      <c r="G34" s="7">
        <v>56</v>
      </c>
      <c r="H34" s="15">
        <v>0.8125</v>
      </c>
      <c r="I34" s="15">
        <v>0.82986111111111116</v>
      </c>
      <c r="J34" s="9">
        <f t="shared" si="4"/>
        <v>1.736111111111116E-2</v>
      </c>
      <c r="K34" s="20">
        <f>IFERROR((J34*24*60)/F34,"")</f>
        <v>1.6891891891891941E-2</v>
      </c>
      <c r="L34" s="21"/>
      <c r="M34" s="25"/>
    </row>
    <row r="35" spans="2:13" ht="24" customHeight="1">
      <c r="B35" s="21"/>
      <c r="C35" s="22"/>
      <c r="D35" s="24" t="s">
        <v>17</v>
      </c>
      <c r="E35" s="7">
        <v>1500</v>
      </c>
      <c r="F35" s="14">
        <v>1440</v>
      </c>
      <c r="G35" s="7">
        <v>56</v>
      </c>
      <c r="H35" s="15">
        <v>0.82986111111111116</v>
      </c>
      <c r="I35" s="15">
        <v>0.84375</v>
      </c>
      <c r="J35" s="9">
        <f t="shared" si="4"/>
        <v>1.388888888888884E-2</v>
      </c>
      <c r="K35" s="20">
        <f t="shared" ref="K35:K37" si="5">IFERROR((J35*24*60)/F35,"")</f>
        <v>1.388888888888884E-2</v>
      </c>
      <c r="L35" s="21"/>
      <c r="M35" s="25"/>
    </row>
    <row r="36" spans="2:13" ht="24" customHeight="1">
      <c r="B36" s="21"/>
      <c r="C36" s="22"/>
      <c r="D36" s="5" t="s">
        <v>18</v>
      </c>
      <c r="E36" s="7">
        <v>1500</v>
      </c>
      <c r="F36" s="14">
        <v>1480</v>
      </c>
      <c r="G36" s="7">
        <v>56</v>
      </c>
      <c r="H36" s="15">
        <v>0.84375</v>
      </c>
      <c r="I36" s="15">
        <v>0.85416666666666663</v>
      </c>
      <c r="J36" s="9">
        <f t="shared" si="4"/>
        <v>1.041666666666663E-2</v>
      </c>
      <c r="K36" s="20">
        <f t="shared" si="5"/>
        <v>1.0135135135135099E-2</v>
      </c>
      <c r="L36" s="21"/>
      <c r="M36" s="25"/>
    </row>
    <row r="37" spans="2:13" ht="24" customHeight="1">
      <c r="B37" s="21"/>
      <c r="C37" s="22"/>
      <c r="D37" s="5" t="s">
        <v>19</v>
      </c>
      <c r="E37" s="7">
        <v>1500</v>
      </c>
      <c r="F37" s="14">
        <v>1400</v>
      </c>
      <c r="G37" s="7">
        <v>56</v>
      </c>
      <c r="H37" s="15">
        <v>0.85416666666666663</v>
      </c>
      <c r="I37" s="15">
        <v>0.86805555555555558</v>
      </c>
      <c r="J37" s="9">
        <f t="shared" si="4"/>
        <v>1.3888888888888951E-2</v>
      </c>
      <c r="K37" s="20">
        <f t="shared" si="5"/>
        <v>1.4285714285714349E-2</v>
      </c>
      <c r="L37" s="21"/>
      <c r="M37" s="25"/>
    </row>
    <row r="38" spans="2:13" ht="24" customHeight="1">
      <c r="B38" s="21"/>
      <c r="C38" s="22"/>
      <c r="D38" s="24" t="s">
        <v>28</v>
      </c>
      <c r="E38" s="7"/>
      <c r="F38" s="7">
        <v>6</v>
      </c>
      <c r="G38" s="19"/>
      <c r="H38" s="15"/>
      <c r="I38" s="15"/>
      <c r="J38" s="9"/>
      <c r="K38" s="20"/>
      <c r="L38" s="21"/>
      <c r="M38" s="25"/>
    </row>
    <row r="39" spans="2:13" ht="24" customHeight="1">
      <c r="B39" s="21"/>
      <c r="C39" s="22"/>
      <c r="D39" s="24" t="s">
        <v>29</v>
      </c>
      <c r="E39" s="7"/>
      <c r="F39" s="7">
        <v>6</v>
      </c>
      <c r="G39" s="19"/>
      <c r="H39" s="15"/>
      <c r="I39" s="15"/>
      <c r="J39" s="9"/>
      <c r="K39" s="20"/>
      <c r="L39" s="21"/>
      <c r="M39" s="25"/>
    </row>
    <row r="40" spans="2:13" ht="24" customHeight="1">
      <c r="B40" s="21"/>
      <c r="C40" s="22" t="s">
        <v>35</v>
      </c>
      <c r="D40" s="24" t="s">
        <v>46</v>
      </c>
      <c r="E40" s="7">
        <v>750</v>
      </c>
      <c r="F40" s="14">
        <v>912</v>
      </c>
      <c r="G40" s="19" t="s">
        <v>22</v>
      </c>
      <c r="H40" s="15">
        <v>0.68055555555555558</v>
      </c>
      <c r="I40" s="15">
        <v>0.74305555555555558</v>
      </c>
      <c r="J40" s="9">
        <f t="shared" ref="J40" si="6">I40-H40</f>
        <v>6.25E-2</v>
      </c>
      <c r="K40" s="20">
        <f t="shared" ref="K40" si="7">IFERROR((J40*24*60)/F40,"")</f>
        <v>9.8684210526315791E-2</v>
      </c>
      <c r="L40" s="21"/>
      <c r="M40" s="25"/>
    </row>
    <row r="41" spans="2:13" ht="24" customHeight="1">
      <c r="B41" s="21"/>
      <c r="C41" s="4"/>
      <c r="D41" s="24" t="s">
        <v>28</v>
      </c>
      <c r="E41" s="7"/>
      <c r="F41" s="7">
        <v>6</v>
      </c>
      <c r="G41" s="7"/>
      <c r="H41" s="15"/>
      <c r="I41" s="15"/>
      <c r="J41" s="9"/>
      <c r="K41" s="20"/>
      <c r="L41" s="21"/>
      <c r="M41" s="25"/>
    </row>
    <row r="42" spans="2:13" ht="24" customHeight="1">
      <c r="B42" s="4"/>
      <c r="C42" s="28" t="s">
        <v>36</v>
      </c>
      <c r="D42" s="29"/>
      <c r="E42" s="30">
        <f>SUM(E4:E41)</f>
        <v>31250</v>
      </c>
      <c r="F42" s="30">
        <f>SUM(F4:F41)</f>
        <v>31636</v>
      </c>
      <c r="I42" s="31"/>
    </row>
    <row r="43" spans="2:13" ht="24" customHeight="1">
      <c r="C43" s="32"/>
      <c r="I43" s="31"/>
    </row>
    <row r="44" spans="2:13" ht="24" customHeight="1">
      <c r="B44" s="32"/>
      <c r="I44" s="31"/>
    </row>
    <row r="45" spans="2:13" ht="20.25" customHeight="1">
      <c r="I45" s="31"/>
    </row>
    <row r="46" spans="2:13" ht="20.25" customHeight="1">
      <c r="I46" s="31"/>
    </row>
    <row r="47" spans="2:13" ht="20.25" customHeight="1"/>
    <row r="48" spans="2:13" ht="20.25" customHeight="1"/>
    <row r="49" spans="9:12" ht="20.25" customHeight="1">
      <c r="L49" s="3" t="s">
        <v>37</v>
      </c>
    </row>
    <row r="50" spans="9:12" ht="20.25" customHeight="1"/>
    <row r="51" spans="9:12" ht="20.25" customHeight="1"/>
    <row r="52" spans="9:12" ht="21" customHeight="1"/>
    <row r="53" spans="9:12" ht="21" customHeight="1"/>
    <row r="54" spans="9:12" ht="18" customHeight="1"/>
    <row r="55" spans="9:12" ht="18" customHeight="1">
      <c r="I55" s="33"/>
    </row>
    <row r="56" spans="9:12" ht="18" customHeight="1"/>
    <row r="57" spans="9:12" ht="18" customHeight="1"/>
    <row r="58" spans="9:12" ht="18" customHeight="1"/>
    <row r="59" spans="9:12" ht="18" customHeight="1"/>
    <row r="60" spans="9:12" ht="18" customHeight="1"/>
    <row r="61" spans="9:12" ht="18" customHeight="1"/>
    <row r="62" spans="9:12" ht="18" customHeight="1"/>
    <row r="68" spans="2:13" s="34" customFormat="1" ht="27.6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9AE4-0A1B-4FD3-A5FA-3F02B4B6780C}">
  <dimension ref="B2:M66"/>
  <sheetViews>
    <sheetView topLeftCell="C1" zoomScale="80" zoomScaleNormal="80" workbookViewId="0">
      <selection activeCell="M21" sqref="M21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46115</v>
      </c>
      <c r="C4" s="18" t="s">
        <v>47</v>
      </c>
      <c r="D4" s="5" t="s">
        <v>14</v>
      </c>
      <c r="E4" s="6">
        <v>1000</v>
      </c>
      <c r="F4" s="6">
        <v>1000</v>
      </c>
      <c r="G4" s="7">
        <v>56</v>
      </c>
      <c r="H4" s="8">
        <v>0.3923611111111111</v>
      </c>
      <c r="I4" s="8">
        <v>0.40277777777777779</v>
      </c>
      <c r="J4" s="9">
        <f>I4-H4</f>
        <v>1.0416666666666685E-2</v>
      </c>
      <c r="K4" s="10">
        <f>IFERROR((J4*24*60)/F4,"")</f>
        <v>1.5000000000000027E-2</v>
      </c>
      <c r="L4" s="11"/>
      <c r="M4" s="4" t="s">
        <v>15</v>
      </c>
    </row>
    <row r="5" spans="2:13" ht="21" customHeight="1">
      <c r="B5" s="22" t="s">
        <v>48</v>
      </c>
      <c r="C5" s="4"/>
      <c r="D5" s="5" t="s">
        <v>17</v>
      </c>
      <c r="E5" s="6">
        <v>1000</v>
      </c>
      <c r="F5" s="6">
        <v>1000</v>
      </c>
      <c r="G5" s="7">
        <v>56</v>
      </c>
      <c r="H5" s="8">
        <v>0.40277777777777779</v>
      </c>
      <c r="I5" s="8">
        <v>0.41319444444444442</v>
      </c>
      <c r="J5" s="9">
        <f>I5-H5</f>
        <v>1.041666666666663E-2</v>
      </c>
      <c r="K5" s="10">
        <f>IFERROR((J5*24*60)/F5,"")</f>
        <v>1.4999999999999947E-2</v>
      </c>
      <c r="L5" s="12"/>
      <c r="M5" s="4"/>
    </row>
    <row r="6" spans="2:13" ht="21" customHeight="1">
      <c r="B6" s="4"/>
      <c r="C6" s="4"/>
      <c r="D6" s="5" t="s">
        <v>18</v>
      </c>
      <c r="E6" s="6">
        <v>1000</v>
      </c>
      <c r="F6" s="6">
        <v>1000</v>
      </c>
      <c r="G6" s="7">
        <v>56</v>
      </c>
      <c r="H6" s="8">
        <v>0.41319444444444442</v>
      </c>
      <c r="I6" s="8">
        <v>0.4236111111111111</v>
      </c>
      <c r="J6" s="9">
        <f>I6-H6</f>
        <v>1.0416666666666685E-2</v>
      </c>
      <c r="K6" s="10">
        <f>IFERROR((J6*24*60)/F6,"")</f>
        <v>1.5000000000000027E-2</v>
      </c>
      <c r="L6" s="4"/>
      <c r="M6" s="4"/>
    </row>
    <row r="7" spans="2:13" ht="21" customHeight="1">
      <c r="B7" s="4"/>
      <c r="C7" s="4"/>
      <c r="D7" s="5" t="s">
        <v>19</v>
      </c>
      <c r="E7" s="6">
        <v>1000</v>
      </c>
      <c r="F7" s="6">
        <v>1000</v>
      </c>
      <c r="G7" s="7">
        <v>56</v>
      </c>
      <c r="H7" s="8">
        <v>0.4236111111111111</v>
      </c>
      <c r="I7" s="8">
        <v>0.43402777777777779</v>
      </c>
      <c r="J7" s="9">
        <f>I7-H7</f>
        <v>1.0416666666666685E-2</v>
      </c>
      <c r="K7" s="10">
        <f>IFERROR((J7*24*60)/F7,"")</f>
        <v>1.5000000000000027E-2</v>
      </c>
      <c r="L7" s="4"/>
      <c r="M7" s="4"/>
    </row>
    <row r="8" spans="2:13" ht="21" customHeight="1">
      <c r="B8" s="4"/>
      <c r="C8" s="4"/>
      <c r="D8" s="5" t="s">
        <v>20</v>
      </c>
      <c r="E8" s="6">
        <v>1000</v>
      </c>
      <c r="F8" s="6">
        <v>1000</v>
      </c>
      <c r="G8" s="7">
        <v>56</v>
      </c>
      <c r="H8" s="8">
        <v>0.43402777777777779</v>
      </c>
      <c r="I8" s="8">
        <v>0.44444444444444442</v>
      </c>
      <c r="J8" s="9">
        <f t="shared" ref="J8:J31" si="0">I8-H8</f>
        <v>1.041666666666663E-2</v>
      </c>
      <c r="K8" s="10">
        <f t="shared" ref="K8:K28" si="1">IFERROR((J8*24*60)/F8,"")</f>
        <v>1.4999999999999947E-2</v>
      </c>
      <c r="L8" s="4"/>
      <c r="M8" s="4"/>
    </row>
    <row r="9" spans="2:13" ht="21" customHeight="1">
      <c r="B9" s="4"/>
      <c r="C9" s="4"/>
      <c r="D9" s="5" t="s">
        <v>21</v>
      </c>
      <c r="E9" s="6">
        <v>1000</v>
      </c>
      <c r="F9" s="6">
        <v>1040</v>
      </c>
      <c r="G9" s="7">
        <v>56</v>
      </c>
      <c r="H9" s="8">
        <v>0.44444444444444442</v>
      </c>
      <c r="I9" s="8">
        <v>0.4548611111111111</v>
      </c>
      <c r="J9" s="9">
        <f t="shared" si="0"/>
        <v>1.0416666666666685E-2</v>
      </c>
      <c r="K9" s="10">
        <f t="shared" si="1"/>
        <v>1.4423076923076948E-2</v>
      </c>
      <c r="L9" s="4"/>
      <c r="M9" s="4"/>
    </row>
    <row r="10" spans="2:13" ht="21" customHeight="1">
      <c r="B10" s="4"/>
      <c r="C10" s="4"/>
      <c r="D10" s="5" t="s">
        <v>22</v>
      </c>
      <c r="E10" s="6">
        <v>1000</v>
      </c>
      <c r="F10" s="6">
        <v>1000</v>
      </c>
      <c r="G10" s="7">
        <v>56</v>
      </c>
      <c r="H10" s="8">
        <v>0.4548611111111111</v>
      </c>
      <c r="I10" s="8">
        <v>0.46527777777777779</v>
      </c>
      <c r="J10" s="9">
        <f t="shared" si="0"/>
        <v>1.0416666666666685E-2</v>
      </c>
      <c r="K10" s="10">
        <f t="shared" si="1"/>
        <v>1.5000000000000027E-2</v>
      </c>
      <c r="L10" s="4"/>
      <c r="M10" s="4"/>
    </row>
    <row r="11" spans="2:13" ht="21" customHeight="1">
      <c r="B11" s="4"/>
      <c r="C11" s="4"/>
      <c r="D11" s="5" t="s">
        <v>23</v>
      </c>
      <c r="E11" s="6">
        <v>1000</v>
      </c>
      <c r="F11" s="6">
        <v>1000</v>
      </c>
      <c r="G11" s="7">
        <v>56</v>
      </c>
      <c r="H11" s="8">
        <v>0.46527777777777779</v>
      </c>
      <c r="I11" s="8">
        <v>0.47569444444444442</v>
      </c>
      <c r="J11" s="9">
        <f t="shared" si="0"/>
        <v>1.041666666666663E-2</v>
      </c>
      <c r="K11" s="10">
        <f t="shared" si="1"/>
        <v>1.4999999999999947E-2</v>
      </c>
      <c r="L11" s="4"/>
      <c r="M11" s="4"/>
    </row>
    <row r="12" spans="2:13" ht="21" customHeight="1">
      <c r="B12" s="4"/>
      <c r="C12" s="4"/>
      <c r="D12" s="5" t="s">
        <v>24</v>
      </c>
      <c r="E12" s="6">
        <v>1000</v>
      </c>
      <c r="F12" s="6">
        <v>1000</v>
      </c>
      <c r="G12" s="7">
        <v>56</v>
      </c>
      <c r="H12" s="8">
        <v>0.47569444444444442</v>
      </c>
      <c r="I12" s="8">
        <v>0.4861111111111111</v>
      </c>
      <c r="J12" s="9">
        <f t="shared" si="0"/>
        <v>1.0416666666666685E-2</v>
      </c>
      <c r="K12" s="10">
        <f t="shared" si="1"/>
        <v>1.5000000000000027E-2</v>
      </c>
      <c r="L12" s="4"/>
      <c r="M12" s="4"/>
    </row>
    <row r="13" spans="2:13" ht="21" customHeight="1">
      <c r="B13" s="4"/>
      <c r="C13" s="4"/>
      <c r="D13" s="5" t="s">
        <v>25</v>
      </c>
      <c r="E13" s="6">
        <v>1000</v>
      </c>
      <c r="F13" s="6">
        <v>1000</v>
      </c>
      <c r="G13" s="7">
        <v>56</v>
      </c>
      <c r="H13" s="8">
        <v>0.4861111111111111</v>
      </c>
      <c r="I13" s="8">
        <v>0.49652777777777779</v>
      </c>
      <c r="J13" s="9">
        <f t="shared" si="0"/>
        <v>1.0416666666666685E-2</v>
      </c>
      <c r="K13" s="10">
        <f t="shared" si="1"/>
        <v>1.5000000000000027E-2</v>
      </c>
      <c r="L13" s="4"/>
      <c r="M13" s="4"/>
    </row>
    <row r="14" spans="2:13" ht="21" customHeight="1">
      <c r="B14" s="4"/>
      <c r="C14" s="4"/>
      <c r="D14" s="5" t="s">
        <v>26</v>
      </c>
      <c r="E14" s="6">
        <v>1000</v>
      </c>
      <c r="F14" s="6">
        <v>1000</v>
      </c>
      <c r="G14" s="7">
        <v>56</v>
      </c>
      <c r="H14" s="8">
        <v>0.49652777777777779</v>
      </c>
      <c r="I14" s="8">
        <v>0.50694444444444442</v>
      </c>
      <c r="J14" s="9">
        <f t="shared" si="0"/>
        <v>1.041666666666663E-2</v>
      </c>
      <c r="K14" s="10">
        <f t="shared" si="1"/>
        <v>1.4999999999999947E-2</v>
      </c>
      <c r="L14" s="4"/>
      <c r="M14" s="4"/>
    </row>
    <row r="15" spans="2:13" ht="21" customHeight="1">
      <c r="B15" s="4"/>
      <c r="C15" s="4"/>
      <c r="D15" s="5" t="s">
        <v>27</v>
      </c>
      <c r="E15" s="6">
        <v>1000</v>
      </c>
      <c r="F15" s="6">
        <v>1000</v>
      </c>
      <c r="G15" s="7">
        <v>56</v>
      </c>
      <c r="H15" s="8">
        <v>0.50694444444444442</v>
      </c>
      <c r="I15" s="8">
        <v>0.51388888888888884</v>
      </c>
      <c r="J15" s="9">
        <f t="shared" ref="J15:J18" si="2">I15-H15</f>
        <v>6.9444444444444198E-3</v>
      </c>
      <c r="K15" s="10">
        <f t="shared" ref="K15:K18" si="3">IFERROR((J15*24*60)/F15,"")</f>
        <v>9.9999999999999638E-3</v>
      </c>
      <c r="L15" s="4"/>
      <c r="M15" s="4"/>
    </row>
    <row r="16" spans="2:13" ht="21" customHeight="1">
      <c r="B16" s="4"/>
      <c r="C16" s="4"/>
      <c r="D16" s="5" t="s">
        <v>49</v>
      </c>
      <c r="E16" s="6">
        <v>1000</v>
      </c>
      <c r="F16" s="6">
        <v>1000</v>
      </c>
      <c r="G16" s="7">
        <v>56</v>
      </c>
      <c r="H16" s="8">
        <v>0.51388888888888884</v>
      </c>
      <c r="I16" s="8">
        <v>0.52430555555555558</v>
      </c>
      <c r="J16" s="9">
        <f t="shared" si="2"/>
        <v>1.0416666666666741E-2</v>
      </c>
      <c r="K16" s="10">
        <f t="shared" si="3"/>
        <v>1.5000000000000107E-2</v>
      </c>
      <c r="L16" s="4"/>
      <c r="M16" s="4"/>
    </row>
    <row r="17" spans="2:13" ht="21" customHeight="1">
      <c r="B17" s="4"/>
      <c r="C17" s="4"/>
      <c r="D17" s="5" t="s">
        <v>50</v>
      </c>
      <c r="E17" s="6">
        <v>1000</v>
      </c>
      <c r="F17" s="6">
        <v>1000</v>
      </c>
      <c r="G17" s="7">
        <v>56</v>
      </c>
      <c r="H17" s="8">
        <v>0.52430555555555558</v>
      </c>
      <c r="I17" s="8">
        <v>0.53472222222222221</v>
      </c>
      <c r="J17" s="9">
        <f t="shared" si="2"/>
        <v>1.041666666666663E-2</v>
      </c>
      <c r="K17" s="10">
        <f t="shared" si="3"/>
        <v>1.4999999999999947E-2</v>
      </c>
      <c r="L17" s="4"/>
      <c r="M17" s="4"/>
    </row>
    <row r="18" spans="2:13" ht="21" customHeight="1">
      <c r="B18" s="4"/>
      <c r="C18" s="22"/>
      <c r="D18" s="24" t="s">
        <v>30</v>
      </c>
      <c r="E18" s="24" t="s">
        <v>30</v>
      </c>
      <c r="F18" s="24" t="s">
        <v>30</v>
      </c>
      <c r="G18" s="7">
        <v>10</v>
      </c>
      <c r="H18" s="8">
        <v>0.53472222222222221</v>
      </c>
      <c r="I18" s="8">
        <v>0.57638888888888884</v>
      </c>
      <c r="J18" s="9">
        <f t="shared" si="2"/>
        <v>4.166666666666663E-2</v>
      </c>
      <c r="K18" s="10" t="str">
        <f t="shared" si="3"/>
        <v/>
      </c>
      <c r="L18" s="21"/>
      <c r="M18" s="25" t="s">
        <v>51</v>
      </c>
    </row>
    <row r="19" spans="2:13" ht="21" customHeight="1">
      <c r="B19" s="4"/>
      <c r="C19" s="4"/>
      <c r="D19" s="24" t="s">
        <v>52</v>
      </c>
      <c r="E19" s="7">
        <v>1000</v>
      </c>
      <c r="F19" s="14">
        <v>1000</v>
      </c>
      <c r="G19" s="7">
        <v>43</v>
      </c>
      <c r="H19" s="8">
        <v>0.58680555555555558</v>
      </c>
      <c r="I19" s="15">
        <v>0.60069444444444442</v>
      </c>
      <c r="J19" s="9">
        <f t="shared" ref="J19:J21" si="4">I19-H19</f>
        <v>1.388888888888884E-2</v>
      </c>
      <c r="K19" s="10">
        <f t="shared" ref="K19:K21" si="5">IFERROR((J19*24*60)/F19,"")</f>
        <v>1.9999999999999928E-2</v>
      </c>
      <c r="L19" s="4"/>
      <c r="M19" s="4" t="s">
        <v>53</v>
      </c>
    </row>
    <row r="20" spans="2:13" ht="21" customHeight="1">
      <c r="B20" s="4"/>
      <c r="C20" s="4"/>
      <c r="D20" s="24" t="s">
        <v>54</v>
      </c>
      <c r="E20" s="7">
        <v>1000</v>
      </c>
      <c r="F20" s="14">
        <v>1000</v>
      </c>
      <c r="G20" s="7">
        <v>43</v>
      </c>
      <c r="H20" s="15">
        <v>0.60069444444444442</v>
      </c>
      <c r="I20" s="15">
        <v>0.61111111111111116</v>
      </c>
      <c r="J20" s="9">
        <f t="shared" si="4"/>
        <v>1.0416666666666741E-2</v>
      </c>
      <c r="K20" s="10">
        <f t="shared" si="5"/>
        <v>1.5000000000000107E-2</v>
      </c>
      <c r="L20" s="4"/>
      <c r="M20" s="4"/>
    </row>
    <row r="21" spans="2:13" ht="21" customHeight="1">
      <c r="B21" s="4"/>
      <c r="C21" s="4"/>
      <c r="D21" s="24" t="s">
        <v>55</v>
      </c>
      <c r="E21" s="7">
        <v>1000</v>
      </c>
      <c r="F21" s="14">
        <v>1000</v>
      </c>
      <c r="G21" s="19" t="s">
        <v>56</v>
      </c>
      <c r="H21" s="15">
        <v>0.61111111111111116</v>
      </c>
      <c r="I21" s="15">
        <v>0.63541666666666663</v>
      </c>
      <c r="J21" s="9">
        <f t="shared" si="4"/>
        <v>2.4305555555555469E-2</v>
      </c>
      <c r="K21" s="10">
        <f t="shared" si="5"/>
        <v>3.4999999999999871E-2</v>
      </c>
      <c r="L21" s="4" t="s">
        <v>57</v>
      </c>
      <c r="M21" s="25" t="s">
        <v>58</v>
      </c>
    </row>
    <row r="22" spans="2:13" ht="21" customHeight="1">
      <c r="B22" s="4"/>
      <c r="C22" s="4"/>
      <c r="D22" s="24" t="s">
        <v>28</v>
      </c>
      <c r="E22" s="7"/>
      <c r="F22" s="7">
        <v>31</v>
      </c>
      <c r="G22" s="19"/>
      <c r="H22" s="15"/>
      <c r="I22" s="15"/>
      <c r="J22" s="9"/>
      <c r="K22" s="10"/>
      <c r="L22" s="4"/>
      <c r="M22" s="4"/>
    </row>
    <row r="23" spans="2:13" ht="23.25" customHeight="1">
      <c r="B23" s="17"/>
      <c r="C23" s="26"/>
      <c r="D23" s="24" t="s">
        <v>29</v>
      </c>
      <c r="E23" s="7"/>
      <c r="F23" s="7">
        <v>20</v>
      </c>
      <c r="G23" s="19"/>
      <c r="H23" s="15"/>
      <c r="I23" s="15"/>
      <c r="J23" s="9"/>
      <c r="K23" s="20"/>
      <c r="L23" s="21"/>
      <c r="M23" s="4"/>
    </row>
    <row r="24" spans="2:13" ht="23.25" customHeight="1">
      <c r="B24" s="4"/>
      <c r="C24" s="22"/>
      <c r="D24" s="24" t="s">
        <v>30</v>
      </c>
      <c r="E24" s="24" t="s">
        <v>30</v>
      </c>
      <c r="F24" s="24" t="s">
        <v>30</v>
      </c>
      <c r="G24" s="7">
        <v>10</v>
      </c>
      <c r="H24" s="8">
        <v>0.63541666666666663</v>
      </c>
      <c r="I24" s="8">
        <v>0.64236111111111116</v>
      </c>
      <c r="J24" s="9">
        <f t="shared" ref="J24:J25" si="6">I24-H24</f>
        <v>6.9444444444445308E-3</v>
      </c>
      <c r="K24" s="10" t="str">
        <f t="shared" ref="K24" si="7">IFERROR((J24*24*60)/F24,"")</f>
        <v/>
      </c>
      <c r="L24" s="21"/>
      <c r="M24" s="25" t="s">
        <v>51</v>
      </c>
    </row>
    <row r="25" spans="2:13" ht="23.25" customHeight="1">
      <c r="B25" s="17"/>
      <c r="C25" s="26" t="s">
        <v>59</v>
      </c>
      <c r="D25" s="24" t="s">
        <v>14</v>
      </c>
      <c r="E25" s="7">
        <v>1500</v>
      </c>
      <c r="F25" s="14">
        <v>1512</v>
      </c>
      <c r="G25" s="19" t="s">
        <v>56</v>
      </c>
      <c r="H25" s="15">
        <v>0.64236111111111116</v>
      </c>
      <c r="I25" s="15">
        <v>0.67361111111111116</v>
      </c>
      <c r="J25" s="9">
        <f t="shared" si="6"/>
        <v>3.125E-2</v>
      </c>
      <c r="K25" s="20">
        <f t="shared" si="1"/>
        <v>2.976190476190476E-2</v>
      </c>
      <c r="L25" s="21"/>
      <c r="M25" s="4"/>
    </row>
    <row r="26" spans="2:13" ht="23.25" customHeight="1">
      <c r="B26" s="22"/>
      <c r="C26" s="26"/>
      <c r="D26" s="24" t="s">
        <v>17</v>
      </c>
      <c r="E26" s="7">
        <v>1500</v>
      </c>
      <c r="F26" s="14">
        <v>1485</v>
      </c>
      <c r="G26" s="19" t="s">
        <v>56</v>
      </c>
      <c r="H26" s="8">
        <v>0.67361111111111116</v>
      </c>
      <c r="I26" s="8">
        <v>0.70138888888888884</v>
      </c>
      <c r="J26" s="9">
        <f t="shared" si="0"/>
        <v>2.7777777777777679E-2</v>
      </c>
      <c r="K26" s="20">
        <f t="shared" si="1"/>
        <v>2.6936026936026841E-2</v>
      </c>
      <c r="L26" s="21"/>
      <c r="M26" s="4"/>
    </row>
    <row r="27" spans="2:13" ht="23.25" customHeight="1">
      <c r="B27" s="22"/>
      <c r="C27" s="22"/>
      <c r="D27" s="5" t="s">
        <v>18</v>
      </c>
      <c r="E27" s="7">
        <v>1500</v>
      </c>
      <c r="F27" s="14">
        <v>1512</v>
      </c>
      <c r="G27" s="19" t="s">
        <v>56</v>
      </c>
      <c r="H27" s="8">
        <v>0.70138888888888884</v>
      </c>
      <c r="I27" s="8">
        <v>0.72569444444444442</v>
      </c>
      <c r="J27" s="9">
        <f t="shared" si="0"/>
        <v>2.430555555555558E-2</v>
      </c>
      <c r="K27" s="20">
        <f t="shared" si="1"/>
        <v>2.3148148148148171E-2</v>
      </c>
      <c r="L27" s="21"/>
      <c r="M27" s="25"/>
    </row>
    <row r="28" spans="2:13" ht="24" customHeight="1">
      <c r="B28" s="4"/>
      <c r="C28" s="26"/>
      <c r="D28" s="5" t="s">
        <v>19</v>
      </c>
      <c r="E28" s="7">
        <v>1500</v>
      </c>
      <c r="F28" s="14">
        <v>1539</v>
      </c>
      <c r="G28" s="19" t="s">
        <v>56</v>
      </c>
      <c r="H28" s="8">
        <v>0.72569444444444442</v>
      </c>
      <c r="I28" s="8">
        <v>0.74652777777777779</v>
      </c>
      <c r="J28" s="9">
        <f t="shared" si="0"/>
        <v>2.083333333333337E-2</v>
      </c>
      <c r="K28" s="20">
        <f t="shared" si="1"/>
        <v>1.9493177387914264E-2</v>
      </c>
      <c r="L28" s="21"/>
      <c r="M28" s="25"/>
    </row>
    <row r="29" spans="2:13" ht="24" customHeight="1">
      <c r="B29" s="4"/>
      <c r="C29" s="27"/>
      <c r="D29" s="24" t="s">
        <v>28</v>
      </c>
      <c r="E29" s="6"/>
      <c r="F29" s="14">
        <v>1</v>
      </c>
      <c r="G29" s="19"/>
      <c r="H29" s="15"/>
      <c r="I29" s="15"/>
      <c r="J29" s="9"/>
      <c r="K29" s="20"/>
      <c r="L29" s="21"/>
      <c r="M29" s="25"/>
    </row>
    <row r="30" spans="2:13" ht="24" customHeight="1">
      <c r="B30" s="4"/>
      <c r="C30" s="27"/>
      <c r="D30" s="5" t="s">
        <v>29</v>
      </c>
      <c r="E30" s="6"/>
      <c r="F30" s="14">
        <v>4</v>
      </c>
      <c r="G30" s="19"/>
      <c r="H30" s="15"/>
      <c r="I30" s="15"/>
      <c r="J30" s="9"/>
      <c r="K30" s="20"/>
      <c r="L30" s="21"/>
      <c r="M30" s="25"/>
    </row>
    <row r="31" spans="2:13" ht="24" customHeight="1">
      <c r="B31" s="4"/>
      <c r="C31" s="22"/>
      <c r="D31" s="24" t="s">
        <v>30</v>
      </c>
      <c r="E31" s="24" t="s">
        <v>30</v>
      </c>
      <c r="F31" s="24" t="s">
        <v>30</v>
      </c>
      <c r="G31" s="7">
        <v>53</v>
      </c>
      <c r="H31" s="8">
        <v>0.74652777777777779</v>
      </c>
      <c r="I31" s="8">
        <v>0.75347222222222221</v>
      </c>
      <c r="J31" s="9">
        <f t="shared" si="0"/>
        <v>6.9444444444444198E-3</v>
      </c>
      <c r="K31" s="20" t="str">
        <f t="shared" ref="K31" si="8">IFERROR((J31*24*60)/F31,"")</f>
        <v/>
      </c>
      <c r="L31" s="21"/>
      <c r="M31" s="25" t="s">
        <v>51</v>
      </c>
    </row>
    <row r="32" spans="2:13" ht="24" customHeight="1">
      <c r="B32" s="21"/>
      <c r="C32" s="22" t="s">
        <v>60</v>
      </c>
      <c r="D32" s="5" t="s">
        <v>14</v>
      </c>
      <c r="E32" s="7">
        <v>1500</v>
      </c>
      <c r="F32" s="14">
        <v>1520</v>
      </c>
      <c r="G32" s="7">
        <v>56</v>
      </c>
      <c r="H32" s="15">
        <v>0.75347222222222221</v>
      </c>
      <c r="I32" s="15">
        <v>0.77430555555555558</v>
      </c>
      <c r="J32" s="9">
        <f t="shared" ref="J32" si="9">I32-H32</f>
        <v>2.083333333333337E-2</v>
      </c>
      <c r="K32" s="20">
        <f>IFERROR((J32*24*60)/F32,"")</f>
        <v>1.9736842105263191E-2</v>
      </c>
      <c r="L32" s="21"/>
      <c r="M32" s="25" t="s">
        <v>61</v>
      </c>
    </row>
    <row r="33" spans="2:13" ht="24" customHeight="1">
      <c r="B33" s="21"/>
      <c r="C33" s="22"/>
      <c r="D33" s="24" t="s">
        <v>17</v>
      </c>
      <c r="E33" s="7">
        <v>1500</v>
      </c>
      <c r="F33" s="14">
        <v>1480</v>
      </c>
      <c r="G33" s="7">
        <v>56</v>
      </c>
      <c r="H33" s="15">
        <v>0.77430555555555558</v>
      </c>
      <c r="I33" s="15">
        <v>0.78819444444444442</v>
      </c>
      <c r="J33" s="9">
        <f t="shared" ref="J33:J37" si="10">I33-H33</f>
        <v>1.388888888888884E-2</v>
      </c>
      <c r="K33" s="20">
        <f t="shared" ref="K33:K37" si="11">IFERROR((J33*24*60)/F33,"")</f>
        <v>1.3513513513513466E-2</v>
      </c>
      <c r="L33" s="21"/>
      <c r="M33" s="25"/>
    </row>
    <row r="34" spans="2:13" ht="24" customHeight="1">
      <c r="B34" s="21"/>
      <c r="C34" s="22"/>
      <c r="D34" s="5" t="s">
        <v>18</v>
      </c>
      <c r="E34" s="7">
        <v>1500</v>
      </c>
      <c r="F34" s="14">
        <v>1520</v>
      </c>
      <c r="G34" s="7">
        <v>56</v>
      </c>
      <c r="H34" s="15">
        <v>0.78819444444444442</v>
      </c>
      <c r="I34" s="15">
        <v>0.80208333333333337</v>
      </c>
      <c r="J34" s="9">
        <f t="shared" si="10"/>
        <v>1.3888888888888951E-2</v>
      </c>
      <c r="K34" s="20">
        <f t="shared" si="11"/>
        <v>1.3157894736842164E-2</v>
      </c>
      <c r="L34" s="21"/>
      <c r="M34" s="25"/>
    </row>
    <row r="35" spans="2:13" ht="24" customHeight="1">
      <c r="B35" s="21"/>
      <c r="C35" s="22"/>
      <c r="D35" s="5" t="s">
        <v>19</v>
      </c>
      <c r="E35" s="7">
        <v>1500</v>
      </c>
      <c r="F35" s="14">
        <v>1520</v>
      </c>
      <c r="G35" s="7">
        <v>56</v>
      </c>
      <c r="H35" s="15">
        <v>0.80208333333333337</v>
      </c>
      <c r="I35" s="15">
        <v>0.81944444444444442</v>
      </c>
      <c r="J35" s="9">
        <f t="shared" si="10"/>
        <v>1.7361111111111049E-2</v>
      </c>
      <c r="K35" s="20">
        <f t="shared" si="11"/>
        <v>1.6447368421052572E-2</v>
      </c>
      <c r="L35" s="21"/>
      <c r="M35" s="25"/>
    </row>
    <row r="36" spans="2:13" ht="24" customHeight="1">
      <c r="B36" s="21"/>
      <c r="C36" s="22"/>
      <c r="D36" s="5" t="s">
        <v>20</v>
      </c>
      <c r="E36" s="7">
        <v>1500</v>
      </c>
      <c r="F36" s="14">
        <v>1520</v>
      </c>
      <c r="G36" s="7">
        <v>56</v>
      </c>
      <c r="H36" s="15">
        <v>0.81944444444444442</v>
      </c>
      <c r="I36" s="15">
        <v>0.83680555555555558</v>
      </c>
      <c r="J36" s="9">
        <f t="shared" si="10"/>
        <v>1.736111111111116E-2</v>
      </c>
      <c r="K36" s="20">
        <f t="shared" si="11"/>
        <v>1.6447368421052679E-2</v>
      </c>
      <c r="L36" s="21"/>
      <c r="M36" s="25"/>
    </row>
    <row r="37" spans="2:13" ht="24" customHeight="1">
      <c r="B37" s="21"/>
      <c r="C37" s="22"/>
      <c r="D37" s="5" t="s">
        <v>21</v>
      </c>
      <c r="E37" s="7">
        <v>1500</v>
      </c>
      <c r="F37" s="14">
        <v>1480</v>
      </c>
      <c r="G37" s="7">
        <v>56</v>
      </c>
      <c r="H37" s="15">
        <v>0.83680555555555558</v>
      </c>
      <c r="I37" s="15">
        <v>0.85416666666666663</v>
      </c>
      <c r="J37" s="9">
        <f t="shared" si="10"/>
        <v>1.7361111111111049E-2</v>
      </c>
      <c r="K37" s="20">
        <f t="shared" si="11"/>
        <v>1.689189189189183E-2</v>
      </c>
      <c r="L37" s="21"/>
      <c r="M37" s="25"/>
    </row>
    <row r="38" spans="2:13" ht="24" customHeight="1">
      <c r="B38" s="21"/>
      <c r="C38" s="22"/>
      <c r="D38" s="24" t="s">
        <v>28</v>
      </c>
      <c r="E38" s="7"/>
      <c r="F38" s="7">
        <v>6</v>
      </c>
      <c r="G38" s="19"/>
      <c r="H38" s="15"/>
      <c r="I38" s="15"/>
      <c r="J38" s="9"/>
      <c r="K38" s="20"/>
      <c r="L38" s="21"/>
      <c r="M38" s="25"/>
    </row>
    <row r="39" spans="2:13" ht="24" customHeight="1">
      <c r="B39" s="21"/>
      <c r="C39" s="22"/>
      <c r="D39" s="24" t="s">
        <v>29</v>
      </c>
      <c r="E39" s="7"/>
      <c r="F39" s="7">
        <v>10</v>
      </c>
      <c r="G39" s="19"/>
      <c r="H39" s="15"/>
      <c r="I39" s="15"/>
      <c r="J39" s="9"/>
      <c r="K39" s="20"/>
      <c r="L39" s="21"/>
      <c r="M39" s="25"/>
    </row>
    <row r="40" spans="2:13" ht="24" customHeight="1">
      <c r="B40" s="4"/>
      <c r="C40" s="28" t="s">
        <v>36</v>
      </c>
      <c r="D40" s="29"/>
      <c r="E40" s="30">
        <f>SUM(E4:E39)</f>
        <v>32000</v>
      </c>
      <c r="F40" s="30">
        <f>SUM(F4:F39)</f>
        <v>32200</v>
      </c>
      <c r="I40" s="31"/>
    </row>
    <row r="41" spans="2:13" ht="24" customHeight="1">
      <c r="C41" s="32"/>
      <c r="I41" s="31"/>
    </row>
    <row r="42" spans="2:13" ht="24" customHeight="1">
      <c r="B42" s="32"/>
      <c r="I42" s="31"/>
    </row>
    <row r="43" spans="2:13" ht="20.25" customHeight="1">
      <c r="I43" s="31"/>
    </row>
    <row r="44" spans="2:13" ht="20.25" customHeight="1">
      <c r="I44" s="31"/>
    </row>
    <row r="45" spans="2:13" ht="20.25" customHeight="1"/>
    <row r="46" spans="2:13" ht="20.25" customHeight="1"/>
    <row r="47" spans="2:13" ht="20.25" customHeight="1">
      <c r="L47" s="3" t="s">
        <v>37</v>
      </c>
    </row>
    <row r="48" spans="2:13" ht="20.25" customHeight="1"/>
    <row r="49" spans="9:9" ht="20.25" customHeight="1"/>
    <row r="50" spans="9:9" ht="21" customHeight="1"/>
    <row r="51" spans="9:9" ht="21" customHeight="1"/>
    <row r="52" spans="9:9" ht="18" customHeight="1"/>
    <row r="53" spans="9:9" ht="18" customHeight="1">
      <c r="I53" s="33"/>
    </row>
    <row r="54" spans="9:9" ht="18" customHeight="1"/>
    <row r="55" spans="9:9" ht="18" customHeight="1"/>
    <row r="56" spans="9:9" ht="18" customHeight="1"/>
    <row r="57" spans="9:9" ht="18" customHeight="1"/>
    <row r="58" spans="9:9" ht="18" customHeight="1"/>
    <row r="59" spans="9:9" ht="18" customHeight="1"/>
    <row r="60" spans="9:9" ht="18" customHeight="1"/>
    <row r="66" spans="2:13" s="34" customFormat="1" ht="27.6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C19E-EAB6-41A0-8EC1-20C27157DCC5}">
  <dimension ref="B2:M58"/>
  <sheetViews>
    <sheetView topLeftCell="B1" zoomScale="80" zoomScaleNormal="80" workbookViewId="0">
      <selection activeCell="J15" sqref="J15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46145</v>
      </c>
      <c r="C4" s="18" t="s">
        <v>62</v>
      </c>
      <c r="D4" s="5" t="s">
        <v>14</v>
      </c>
      <c r="E4" s="6">
        <v>1500</v>
      </c>
      <c r="F4" s="6">
        <v>1512</v>
      </c>
      <c r="G4" s="7">
        <v>59</v>
      </c>
      <c r="H4" s="8">
        <v>0.38541666666666669</v>
      </c>
      <c r="I4" s="8">
        <v>0.40625</v>
      </c>
      <c r="J4" s="9">
        <f>I4-H4</f>
        <v>2.0833333333333315E-2</v>
      </c>
      <c r="K4" s="10">
        <f>IFERROR((J4*24*60)/F4,"")</f>
        <v>1.9841269841269823E-2</v>
      </c>
      <c r="L4" s="11"/>
      <c r="M4" s="4" t="s">
        <v>15</v>
      </c>
    </row>
    <row r="5" spans="2:13" ht="21" customHeight="1">
      <c r="B5" s="22" t="s">
        <v>63</v>
      </c>
      <c r="C5" s="4"/>
      <c r="D5" s="5" t="s">
        <v>17</v>
      </c>
      <c r="E5" s="6">
        <v>1500</v>
      </c>
      <c r="F5" s="6">
        <v>1488</v>
      </c>
      <c r="G5" s="7">
        <v>59</v>
      </c>
      <c r="H5" s="8">
        <v>0.40625</v>
      </c>
      <c r="I5" s="8">
        <v>0.42708333333333331</v>
      </c>
      <c r="J5" s="9">
        <f>I5-H5</f>
        <v>2.0833333333333315E-2</v>
      </c>
      <c r="K5" s="10">
        <f>IFERROR((J5*24*60)/F5,"")</f>
        <v>2.0161290322580627E-2</v>
      </c>
      <c r="L5" s="12"/>
      <c r="M5" s="4"/>
    </row>
    <row r="6" spans="2:13" ht="21" customHeight="1">
      <c r="B6" s="4"/>
      <c r="C6" s="4"/>
      <c r="D6" s="5" t="s">
        <v>18</v>
      </c>
      <c r="E6" s="6">
        <v>1500</v>
      </c>
      <c r="F6" s="6">
        <v>1536</v>
      </c>
      <c r="G6" s="7">
        <v>59</v>
      </c>
      <c r="H6" s="8">
        <v>0.42708333333333331</v>
      </c>
      <c r="I6" s="8">
        <v>0.44444444444444442</v>
      </c>
      <c r="J6" s="9">
        <f>I6-H6</f>
        <v>1.7361111111111105E-2</v>
      </c>
      <c r="K6" s="10">
        <f>IFERROR((J6*24*60)/F6,"")</f>
        <v>1.6276041666666661E-2</v>
      </c>
      <c r="L6" s="4"/>
      <c r="M6" s="4"/>
    </row>
    <row r="7" spans="2:13" ht="21" customHeight="1">
      <c r="B7" s="4"/>
      <c r="C7" s="4"/>
      <c r="D7" s="5" t="s">
        <v>19</v>
      </c>
      <c r="E7" s="6">
        <v>1500</v>
      </c>
      <c r="F7" s="6">
        <v>1536</v>
      </c>
      <c r="G7" s="7">
        <v>59</v>
      </c>
      <c r="H7" s="8">
        <v>0.44444444444444442</v>
      </c>
      <c r="I7" s="8">
        <v>0.46527777777777779</v>
      </c>
      <c r="J7" s="9">
        <f>I7-H7</f>
        <v>2.083333333333337E-2</v>
      </c>
      <c r="K7" s="10">
        <f>IFERROR((J7*24*60)/F7,"")</f>
        <v>1.9531250000000035E-2</v>
      </c>
      <c r="L7" s="4"/>
      <c r="M7" s="4"/>
    </row>
    <row r="8" spans="2:13" ht="21" customHeight="1">
      <c r="B8" s="4"/>
      <c r="C8" s="4"/>
      <c r="D8" s="5" t="s">
        <v>20</v>
      </c>
      <c r="E8" s="6">
        <v>1500</v>
      </c>
      <c r="F8" s="6">
        <v>1512</v>
      </c>
      <c r="G8" s="7">
        <v>60</v>
      </c>
      <c r="H8" s="8">
        <v>0.46527777777777779</v>
      </c>
      <c r="I8" s="8">
        <v>0.4826388888888889</v>
      </c>
      <c r="J8" s="9">
        <f t="shared" ref="J8:J29" si="0">I8-H8</f>
        <v>1.7361111111111105E-2</v>
      </c>
      <c r="K8" s="10">
        <f t="shared" ref="K8:K23" si="1">IFERROR((J8*24*60)/F8,"")</f>
        <v>1.653439153439153E-2</v>
      </c>
      <c r="L8" s="4"/>
      <c r="M8" s="4"/>
    </row>
    <row r="9" spans="2:13" ht="21" customHeight="1">
      <c r="B9" s="4"/>
      <c r="C9" s="4"/>
      <c r="D9" s="5" t="s">
        <v>21</v>
      </c>
      <c r="E9" s="6">
        <v>1500</v>
      </c>
      <c r="F9" s="6">
        <v>1488</v>
      </c>
      <c r="G9" s="7">
        <v>60</v>
      </c>
      <c r="H9" s="8">
        <v>0.4826388888888889</v>
      </c>
      <c r="I9" s="8">
        <v>0.5</v>
      </c>
      <c r="J9" s="9">
        <f t="shared" si="0"/>
        <v>1.7361111111111105E-2</v>
      </c>
      <c r="K9" s="10">
        <f t="shared" si="1"/>
        <v>1.68010752688172E-2</v>
      </c>
      <c r="L9" s="4"/>
      <c r="M9" s="4"/>
    </row>
    <row r="10" spans="2:13" ht="21" customHeight="1">
      <c r="B10" s="4"/>
      <c r="C10" s="4"/>
      <c r="D10" s="5" t="s">
        <v>22</v>
      </c>
      <c r="E10" s="6">
        <v>1500</v>
      </c>
      <c r="F10" s="6">
        <v>1512</v>
      </c>
      <c r="G10" s="7">
        <v>60</v>
      </c>
      <c r="H10" s="8">
        <v>0.5</v>
      </c>
      <c r="I10" s="8">
        <v>0.51736111111111116</v>
      </c>
      <c r="J10" s="9">
        <f t="shared" si="0"/>
        <v>1.736111111111116E-2</v>
      </c>
      <c r="K10" s="10">
        <f t="shared" si="1"/>
        <v>1.6534391534391582E-2</v>
      </c>
      <c r="L10" s="4"/>
      <c r="M10" s="4"/>
    </row>
    <row r="11" spans="2:13" ht="21" customHeight="1">
      <c r="B11" s="4"/>
      <c r="C11" s="4"/>
      <c r="D11" s="5" t="s">
        <v>23</v>
      </c>
      <c r="E11" s="6">
        <v>1500</v>
      </c>
      <c r="F11" s="6">
        <v>1488</v>
      </c>
      <c r="G11" s="7">
        <v>60</v>
      </c>
      <c r="H11" s="8">
        <v>0.51736111111111116</v>
      </c>
      <c r="I11" s="8">
        <v>0.53472222222222221</v>
      </c>
      <c r="J11" s="9">
        <f t="shared" si="0"/>
        <v>1.7361111111111049E-2</v>
      </c>
      <c r="K11" s="10">
        <f t="shared" si="1"/>
        <v>1.6801075268817144E-2</v>
      </c>
      <c r="L11" s="4"/>
      <c r="M11" s="4"/>
    </row>
    <row r="12" spans="2:13" ht="21" customHeight="1">
      <c r="B12" s="4"/>
      <c r="C12" s="22"/>
      <c r="D12" s="24" t="s">
        <v>30</v>
      </c>
      <c r="E12" s="24" t="s">
        <v>30</v>
      </c>
      <c r="F12" s="24" t="s">
        <v>30</v>
      </c>
      <c r="G12" s="7">
        <v>10</v>
      </c>
      <c r="H12" s="8">
        <v>0.53472222222222221</v>
      </c>
      <c r="I12" s="8">
        <v>0.57638888888888895</v>
      </c>
      <c r="J12" s="9">
        <f t="shared" ref="J12:J13" si="2">I12-H12</f>
        <v>4.1666666666666741E-2</v>
      </c>
      <c r="K12" s="10" t="str">
        <f t="shared" ref="K12:K13" si="3">IFERROR((J12*24*60)/F12,"")</f>
        <v/>
      </c>
      <c r="L12" s="21"/>
      <c r="M12" s="25" t="s">
        <v>51</v>
      </c>
    </row>
    <row r="13" spans="2:13" ht="21" customHeight="1">
      <c r="B13" s="4"/>
      <c r="C13" s="22"/>
      <c r="D13" s="24" t="s">
        <v>24</v>
      </c>
      <c r="E13" s="6">
        <v>1500</v>
      </c>
      <c r="F13" s="6">
        <v>1536</v>
      </c>
      <c r="G13" s="7">
        <v>50</v>
      </c>
      <c r="H13" s="8">
        <v>0.58680555555555558</v>
      </c>
      <c r="I13" s="8">
        <v>0.61111111111111116</v>
      </c>
      <c r="J13" s="9">
        <f t="shared" si="2"/>
        <v>2.430555555555558E-2</v>
      </c>
      <c r="K13" s="10">
        <f t="shared" si="3"/>
        <v>2.2786458333333356E-2</v>
      </c>
      <c r="L13" s="21"/>
      <c r="M13" s="25"/>
    </row>
    <row r="14" spans="2:13" ht="21" customHeight="1">
      <c r="B14" s="4"/>
      <c r="C14" s="4"/>
      <c r="D14" s="5" t="s">
        <v>25</v>
      </c>
      <c r="E14" s="6">
        <v>1500</v>
      </c>
      <c r="F14" s="6">
        <v>1536</v>
      </c>
      <c r="G14" s="7">
        <v>50</v>
      </c>
      <c r="H14" s="8">
        <v>0.61111111111111116</v>
      </c>
      <c r="I14" s="8">
        <v>0.63194444444444442</v>
      </c>
      <c r="J14" s="9">
        <f t="shared" si="0"/>
        <v>2.0833333333333259E-2</v>
      </c>
      <c r="K14" s="10">
        <f t="shared" si="1"/>
        <v>1.9531249999999931E-2</v>
      </c>
      <c r="L14" s="4"/>
      <c r="M14" s="4"/>
    </row>
    <row r="15" spans="2:13" ht="21" customHeight="1">
      <c r="B15" s="4"/>
      <c r="C15" s="4"/>
      <c r="D15" s="5" t="s">
        <v>26</v>
      </c>
      <c r="E15" s="6">
        <v>1500</v>
      </c>
      <c r="F15" s="6">
        <v>1512</v>
      </c>
      <c r="G15" s="7">
        <v>60</v>
      </c>
      <c r="H15" s="8">
        <v>0.63194444444444442</v>
      </c>
      <c r="I15" s="8">
        <v>0.65625</v>
      </c>
      <c r="J15" s="9">
        <f t="shared" si="0"/>
        <v>2.430555555555558E-2</v>
      </c>
      <c r="K15" s="10">
        <f>IFERROR((J15*24*60)/F15,"")</f>
        <v>2.3148148148148171E-2</v>
      </c>
      <c r="L15" s="4"/>
      <c r="M15" s="4"/>
    </row>
    <row r="16" spans="2:13" ht="21" customHeight="1">
      <c r="B16" s="4"/>
      <c r="C16" s="4"/>
      <c r="D16" s="5" t="s">
        <v>27</v>
      </c>
      <c r="E16" s="6">
        <v>1500</v>
      </c>
      <c r="F16" s="6">
        <v>1488</v>
      </c>
      <c r="G16" s="7">
        <v>60</v>
      </c>
      <c r="H16" s="8">
        <v>0.65625</v>
      </c>
      <c r="I16" s="8">
        <v>0.67708333333333337</v>
      </c>
      <c r="J16" s="9">
        <f t="shared" si="0"/>
        <v>2.083333333333337E-2</v>
      </c>
      <c r="K16" s="10">
        <f t="shared" si="1"/>
        <v>2.0161290322580679E-2</v>
      </c>
      <c r="L16" s="4"/>
      <c r="M16" s="4"/>
    </row>
    <row r="17" spans="2:13" ht="21" customHeight="1">
      <c r="B17" s="4"/>
      <c r="C17" s="4"/>
      <c r="D17" s="24" t="s">
        <v>28</v>
      </c>
      <c r="E17" s="7"/>
      <c r="F17" s="7">
        <v>14</v>
      </c>
      <c r="G17" s="19"/>
      <c r="H17" s="8"/>
      <c r="I17" s="8"/>
      <c r="J17" s="9"/>
      <c r="K17" s="10"/>
      <c r="L17" s="4"/>
      <c r="M17" s="4"/>
    </row>
    <row r="18" spans="2:13" ht="23.25" customHeight="1">
      <c r="B18" s="17"/>
      <c r="C18" s="26"/>
      <c r="D18" s="24" t="s">
        <v>29</v>
      </c>
      <c r="E18" s="7"/>
      <c r="F18" s="7">
        <v>12</v>
      </c>
      <c r="G18" s="19"/>
      <c r="H18" s="8"/>
      <c r="I18" s="8"/>
      <c r="J18" s="9"/>
      <c r="K18" s="20"/>
      <c r="L18" s="21"/>
      <c r="M18" s="4"/>
    </row>
    <row r="19" spans="2:13" ht="23.25" customHeight="1">
      <c r="B19" s="4"/>
      <c r="C19" s="22"/>
      <c r="D19" s="24" t="s">
        <v>30</v>
      </c>
      <c r="E19" s="24" t="s">
        <v>30</v>
      </c>
      <c r="F19" s="24" t="s">
        <v>30</v>
      </c>
      <c r="G19" s="7">
        <v>60</v>
      </c>
      <c r="H19" s="8">
        <v>0.67708333333333337</v>
      </c>
      <c r="I19" s="8">
        <v>0.69097222222222221</v>
      </c>
      <c r="J19" s="9">
        <f t="shared" ref="J19:J20" si="4">I19-H19</f>
        <v>1.388888888888884E-2</v>
      </c>
      <c r="K19" s="10" t="str">
        <f t="shared" ref="K19" si="5">IFERROR((J19*24*60)/F19,"")</f>
        <v/>
      </c>
      <c r="L19" s="21"/>
      <c r="M19" s="25" t="s">
        <v>51</v>
      </c>
    </row>
    <row r="20" spans="2:13" ht="23.25" customHeight="1">
      <c r="B20" s="17"/>
      <c r="C20" s="26" t="s">
        <v>64</v>
      </c>
      <c r="D20" s="24" t="s">
        <v>14</v>
      </c>
      <c r="E20" s="7">
        <v>1500</v>
      </c>
      <c r="F20" s="14">
        <v>1520</v>
      </c>
      <c r="G20" s="19" t="s">
        <v>65</v>
      </c>
      <c r="H20" s="8">
        <v>0.69097222222222221</v>
      </c>
      <c r="I20" s="8">
        <v>0.71180555555555558</v>
      </c>
      <c r="J20" s="9">
        <f t="shared" si="4"/>
        <v>2.083333333333337E-2</v>
      </c>
      <c r="K20" s="20">
        <f t="shared" si="1"/>
        <v>1.9736842105263191E-2</v>
      </c>
      <c r="L20" s="21"/>
      <c r="M20" s="4"/>
    </row>
    <row r="21" spans="2:13" ht="23.25" customHeight="1">
      <c r="B21" s="22"/>
      <c r="C21" s="26"/>
      <c r="D21" s="24" t="s">
        <v>17</v>
      </c>
      <c r="E21" s="7">
        <v>1500</v>
      </c>
      <c r="F21" s="14">
        <v>1480</v>
      </c>
      <c r="G21" s="19" t="s">
        <v>66</v>
      </c>
      <c r="H21" s="8">
        <v>0.71180555555555558</v>
      </c>
      <c r="I21" s="8">
        <v>0.72569444444444442</v>
      </c>
      <c r="J21" s="9">
        <f t="shared" si="0"/>
        <v>1.388888888888884E-2</v>
      </c>
      <c r="K21" s="20">
        <f t="shared" si="1"/>
        <v>1.3513513513513466E-2</v>
      </c>
      <c r="L21" s="21"/>
      <c r="M21" s="4"/>
    </row>
    <row r="22" spans="2:13" ht="23.25" customHeight="1">
      <c r="B22" s="22"/>
      <c r="C22" s="22"/>
      <c r="D22" s="5" t="s">
        <v>18</v>
      </c>
      <c r="E22" s="7">
        <v>1500</v>
      </c>
      <c r="F22" s="14">
        <v>1520</v>
      </c>
      <c r="G22" s="19" t="s">
        <v>66</v>
      </c>
      <c r="H22" s="8">
        <v>0.72569444444444442</v>
      </c>
      <c r="I22" s="8">
        <v>0.73611111111111116</v>
      </c>
      <c r="J22" s="9">
        <f t="shared" si="0"/>
        <v>1.0416666666666741E-2</v>
      </c>
      <c r="K22" s="20">
        <f t="shared" si="1"/>
        <v>9.8684210526316495E-3</v>
      </c>
      <c r="L22" s="21"/>
      <c r="M22" s="25"/>
    </row>
    <row r="23" spans="2:13" ht="24" customHeight="1">
      <c r="B23" s="4"/>
      <c r="C23" s="26"/>
      <c r="D23" s="5" t="s">
        <v>19</v>
      </c>
      <c r="E23" s="7">
        <v>1500</v>
      </c>
      <c r="F23" s="14">
        <v>1480</v>
      </c>
      <c r="G23" s="19" t="s">
        <v>66</v>
      </c>
      <c r="H23" s="8">
        <v>0.73611111111111116</v>
      </c>
      <c r="I23" s="8">
        <v>0.75</v>
      </c>
      <c r="J23" s="9">
        <f t="shared" si="0"/>
        <v>1.388888888888884E-2</v>
      </c>
      <c r="K23" s="20">
        <f t="shared" si="1"/>
        <v>1.3513513513513466E-2</v>
      </c>
      <c r="L23" s="21"/>
      <c r="M23" s="25"/>
    </row>
    <row r="24" spans="2:13" ht="24" customHeight="1">
      <c r="B24" s="21"/>
      <c r="C24" s="22"/>
      <c r="D24" s="5" t="s">
        <v>20</v>
      </c>
      <c r="E24" s="7">
        <v>1500</v>
      </c>
      <c r="F24" s="14">
        <v>1520</v>
      </c>
      <c r="G24" s="7">
        <v>58</v>
      </c>
      <c r="H24" s="8">
        <v>0.75</v>
      </c>
      <c r="I24" s="8">
        <v>0.76736111111111116</v>
      </c>
      <c r="J24" s="9">
        <f t="shared" si="0"/>
        <v>1.736111111111116E-2</v>
      </c>
      <c r="K24" s="20">
        <f>IFERROR((J24*24*60)/F24,"")</f>
        <v>1.6447368421052679E-2</v>
      </c>
      <c r="L24" s="21"/>
      <c r="M24" s="25"/>
    </row>
    <row r="25" spans="2:13" ht="24" customHeight="1">
      <c r="B25" s="21"/>
      <c r="C25" s="22"/>
      <c r="D25" s="5" t="s">
        <v>21</v>
      </c>
      <c r="E25" s="7">
        <v>1500</v>
      </c>
      <c r="F25" s="14">
        <v>1480</v>
      </c>
      <c r="G25" s="7">
        <v>58</v>
      </c>
      <c r="H25" s="8">
        <v>0.76736111111111116</v>
      </c>
      <c r="I25" s="8">
        <v>0.78125</v>
      </c>
      <c r="J25" s="9">
        <f t="shared" si="0"/>
        <v>1.388888888888884E-2</v>
      </c>
      <c r="K25" s="20">
        <f t="shared" ref="K25:K29" si="6">IFERROR((J25*24*60)/F25,"")</f>
        <v>1.3513513513513466E-2</v>
      </c>
      <c r="L25" s="21"/>
      <c r="M25" s="25"/>
    </row>
    <row r="26" spans="2:13" ht="24" customHeight="1">
      <c r="B26" s="21"/>
      <c r="C26" s="22"/>
      <c r="D26" s="5" t="s">
        <v>22</v>
      </c>
      <c r="E26" s="7">
        <v>1500</v>
      </c>
      <c r="F26" s="14">
        <v>1520</v>
      </c>
      <c r="G26" s="7">
        <v>58</v>
      </c>
      <c r="H26" s="8">
        <v>0.78125</v>
      </c>
      <c r="I26" s="15">
        <v>0.79513888888888884</v>
      </c>
      <c r="J26" s="9">
        <f t="shared" si="0"/>
        <v>1.388888888888884E-2</v>
      </c>
      <c r="K26" s="20">
        <f t="shared" si="6"/>
        <v>1.3157894736842058E-2</v>
      </c>
      <c r="L26" s="21"/>
      <c r="M26" s="25"/>
    </row>
    <row r="27" spans="2:13" ht="24" customHeight="1">
      <c r="B27" s="21"/>
      <c r="C27" s="22"/>
      <c r="D27" s="5" t="s">
        <v>23</v>
      </c>
      <c r="E27" s="7">
        <v>1500</v>
      </c>
      <c r="F27" s="14">
        <v>1480</v>
      </c>
      <c r="G27" s="7">
        <v>58</v>
      </c>
      <c r="H27" s="15">
        <v>0.79513888888888884</v>
      </c>
      <c r="I27" s="15">
        <v>0.80902777777777779</v>
      </c>
      <c r="J27" s="9">
        <f t="shared" si="0"/>
        <v>1.3888888888888951E-2</v>
      </c>
      <c r="K27" s="20">
        <f t="shared" si="6"/>
        <v>1.3513513513513573E-2</v>
      </c>
      <c r="L27" s="21"/>
      <c r="M27" s="25"/>
    </row>
    <row r="28" spans="2:13" ht="24" customHeight="1">
      <c r="B28" s="21"/>
      <c r="C28" s="22"/>
      <c r="D28" s="5" t="s">
        <v>24</v>
      </c>
      <c r="E28" s="7">
        <v>1500</v>
      </c>
      <c r="F28" s="14">
        <v>1520</v>
      </c>
      <c r="G28" s="7">
        <v>58</v>
      </c>
      <c r="H28" s="15">
        <v>0.80902777777777779</v>
      </c>
      <c r="I28" s="15">
        <v>0.82291666666666663</v>
      </c>
      <c r="J28" s="9">
        <f t="shared" si="0"/>
        <v>1.388888888888884E-2</v>
      </c>
      <c r="K28" s="20">
        <f t="shared" si="6"/>
        <v>1.3157894736842058E-2</v>
      </c>
      <c r="L28" s="21"/>
      <c r="M28" s="25"/>
    </row>
    <row r="29" spans="2:13" ht="24" customHeight="1">
      <c r="B29" s="21"/>
      <c r="C29" s="22"/>
      <c r="D29" s="5" t="s">
        <v>25</v>
      </c>
      <c r="E29" s="7">
        <v>1500</v>
      </c>
      <c r="F29" s="14">
        <v>1520</v>
      </c>
      <c r="G29" s="7">
        <v>58</v>
      </c>
      <c r="H29" s="15">
        <v>0.82291666666666663</v>
      </c>
      <c r="I29" s="15">
        <v>0.83680555555555558</v>
      </c>
      <c r="J29" s="9">
        <f t="shared" si="0"/>
        <v>1.3888888888888951E-2</v>
      </c>
      <c r="K29" s="20">
        <f t="shared" si="6"/>
        <v>1.3157894736842164E-2</v>
      </c>
      <c r="L29" s="21"/>
      <c r="M29" s="25"/>
    </row>
    <row r="30" spans="2:13" ht="24" customHeight="1">
      <c r="B30" s="21"/>
      <c r="C30" s="22"/>
      <c r="D30" s="24" t="s">
        <v>28</v>
      </c>
      <c r="E30" s="7"/>
      <c r="F30" s="7">
        <v>8</v>
      </c>
      <c r="G30" s="19"/>
      <c r="H30" s="15"/>
      <c r="I30" s="15"/>
      <c r="J30" s="9"/>
      <c r="K30" s="20"/>
      <c r="L30" s="21"/>
      <c r="M30" s="25"/>
    </row>
    <row r="31" spans="2:13" ht="24" customHeight="1">
      <c r="B31" s="21"/>
      <c r="C31" s="22" t="s">
        <v>67</v>
      </c>
      <c r="D31" s="24" t="s">
        <v>29</v>
      </c>
      <c r="E31" s="7"/>
      <c r="F31" s="7">
        <v>12</v>
      </c>
      <c r="G31" s="19"/>
      <c r="H31" s="15"/>
      <c r="I31" s="15"/>
      <c r="J31" s="9"/>
      <c r="K31" s="20"/>
      <c r="L31" s="21"/>
      <c r="M31" s="25"/>
    </row>
    <row r="32" spans="2:13" ht="24" customHeight="1">
      <c r="B32" s="4"/>
      <c r="C32" s="28" t="s">
        <v>36</v>
      </c>
      <c r="D32" s="29"/>
      <c r="E32" s="30">
        <f>SUM(E4:E31)</f>
        <v>33000</v>
      </c>
      <c r="F32" s="30">
        <f>SUM(F4:F31)</f>
        <v>33230</v>
      </c>
      <c r="I32" s="31"/>
    </row>
    <row r="33" spans="2:12" ht="24" customHeight="1">
      <c r="C33" s="32"/>
      <c r="I33" s="31"/>
    </row>
    <row r="34" spans="2:12" ht="24" customHeight="1">
      <c r="B34" s="32"/>
      <c r="I34" s="31"/>
    </row>
    <row r="35" spans="2:12" ht="20.25" customHeight="1">
      <c r="I35" s="31"/>
    </row>
    <row r="36" spans="2:12" ht="20.25" customHeight="1">
      <c r="I36" s="31"/>
    </row>
    <row r="37" spans="2:12" ht="20.25" customHeight="1"/>
    <row r="38" spans="2:12" ht="20.25" customHeight="1"/>
    <row r="39" spans="2:12" ht="20.25" customHeight="1">
      <c r="L39" s="3" t="s">
        <v>37</v>
      </c>
    </row>
    <row r="40" spans="2:12" ht="20.25" customHeight="1"/>
    <row r="41" spans="2:12" ht="20.25" customHeight="1"/>
    <row r="42" spans="2:12" ht="21" customHeight="1"/>
    <row r="43" spans="2:12" ht="21" customHeight="1"/>
    <row r="44" spans="2:12" ht="18" customHeight="1"/>
    <row r="45" spans="2:12" ht="18" customHeight="1">
      <c r="I45" s="33"/>
    </row>
    <row r="46" spans="2:12" ht="18" customHeight="1"/>
    <row r="47" spans="2:12" ht="18" customHeight="1"/>
    <row r="48" spans="2:12" ht="18" customHeight="1"/>
    <row r="49" spans="2:13" ht="18" customHeight="1"/>
    <row r="50" spans="2:13" ht="18" customHeight="1"/>
    <row r="51" spans="2:13" ht="18" customHeight="1"/>
    <row r="52" spans="2:13" ht="18" customHeight="1"/>
    <row r="58" spans="2:13" s="34" customFormat="1" ht="27.6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9AD0-6CF4-4CA3-815D-C7C6416A35D7}">
  <dimension ref="B2:M56"/>
  <sheetViews>
    <sheetView topLeftCell="A20" zoomScale="80" zoomScaleNormal="80" workbookViewId="0">
      <selection activeCell="AE10" sqref="AE10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46176</v>
      </c>
      <c r="C4" s="18" t="s">
        <v>68</v>
      </c>
      <c r="D4" s="5" t="s">
        <v>14</v>
      </c>
      <c r="E4" s="6">
        <v>1500</v>
      </c>
      <c r="F4" s="6">
        <v>1512</v>
      </c>
      <c r="G4" s="7">
        <v>42</v>
      </c>
      <c r="H4" s="8">
        <v>0.42708333333333331</v>
      </c>
      <c r="I4" s="8">
        <v>0.46875</v>
      </c>
      <c r="J4" s="9">
        <f>I4-H4</f>
        <v>4.1666666666666685E-2</v>
      </c>
      <c r="K4" s="10">
        <f>IFERROR((J4*24*60)/F4,"")</f>
        <v>3.9682539682539701E-2</v>
      </c>
      <c r="L4" s="11"/>
      <c r="M4" s="4" t="s">
        <v>69</v>
      </c>
    </row>
    <row r="5" spans="2:13" ht="21" customHeight="1">
      <c r="B5" s="22" t="s">
        <v>70</v>
      </c>
      <c r="C5" s="4"/>
      <c r="D5" s="5" t="s">
        <v>17</v>
      </c>
      <c r="E5" s="6">
        <v>1500</v>
      </c>
      <c r="F5" s="6">
        <v>1488</v>
      </c>
      <c r="G5" s="7">
        <v>42</v>
      </c>
      <c r="H5" s="8">
        <v>0.46875</v>
      </c>
      <c r="I5" s="8">
        <v>0.49652777777777779</v>
      </c>
      <c r="J5" s="9">
        <f>I5-H5</f>
        <v>2.777777777777779E-2</v>
      </c>
      <c r="K5" s="10">
        <f>IFERROR((J5*24*60)/F5,"")</f>
        <v>2.6881720430107538E-2</v>
      </c>
      <c r="L5" s="12"/>
      <c r="M5" s="4"/>
    </row>
    <row r="6" spans="2:13" ht="21" customHeight="1">
      <c r="B6" s="4"/>
      <c r="C6" s="4"/>
      <c r="D6" s="5" t="s">
        <v>18</v>
      </c>
      <c r="E6" s="6">
        <v>1500</v>
      </c>
      <c r="F6" s="6">
        <v>1512</v>
      </c>
      <c r="G6" s="7">
        <v>42</v>
      </c>
      <c r="H6" s="8">
        <v>0.49652777777777779</v>
      </c>
      <c r="I6" s="8">
        <v>0.52083333333333337</v>
      </c>
      <c r="J6" s="9">
        <f>I6-H6</f>
        <v>2.430555555555558E-2</v>
      </c>
      <c r="K6" s="10">
        <f>IFERROR((J6*24*60)/F6,"")</f>
        <v>2.3148148148148171E-2</v>
      </c>
      <c r="L6" s="4"/>
      <c r="M6" s="4"/>
    </row>
    <row r="7" spans="2:13" ht="21" customHeight="1">
      <c r="B7" s="4"/>
      <c r="C7" s="4"/>
      <c r="D7" s="5" t="s">
        <v>19</v>
      </c>
      <c r="E7" s="6">
        <v>1500</v>
      </c>
      <c r="F7" s="6">
        <v>1488</v>
      </c>
      <c r="G7" s="7">
        <v>42</v>
      </c>
      <c r="H7" s="8">
        <v>0.52083333333333337</v>
      </c>
      <c r="I7" s="8">
        <v>0.54861111111111116</v>
      </c>
      <c r="J7" s="9">
        <f>I7-H7</f>
        <v>2.777777777777779E-2</v>
      </c>
      <c r="K7" s="10">
        <f>IFERROR((J7*24*60)/F7,"")</f>
        <v>2.6881720430107538E-2</v>
      </c>
      <c r="L7" s="4"/>
      <c r="M7" s="4"/>
    </row>
    <row r="8" spans="2:13" ht="21" customHeight="1">
      <c r="B8" s="4"/>
      <c r="C8" s="4"/>
      <c r="D8" s="5" t="s">
        <v>20</v>
      </c>
      <c r="E8" s="6">
        <v>1500</v>
      </c>
      <c r="F8" s="6">
        <v>1440</v>
      </c>
      <c r="G8" s="7">
        <v>42</v>
      </c>
      <c r="H8" s="8">
        <v>0.54861111111111116</v>
      </c>
      <c r="I8" s="8">
        <v>0.57291666666666663</v>
      </c>
      <c r="J8" s="9">
        <f t="shared" ref="J8:J25" si="0">I8-H8</f>
        <v>2.4305555555555469E-2</v>
      </c>
      <c r="K8" s="10">
        <f t="shared" ref="K8:K19" si="1">IFERROR((J8*24*60)/F8,"")</f>
        <v>2.4305555555555466E-2</v>
      </c>
      <c r="L8" s="4"/>
      <c r="M8" s="4"/>
    </row>
    <row r="9" spans="2:13" ht="21" customHeight="1">
      <c r="B9" s="4"/>
      <c r="C9" s="4"/>
      <c r="D9" s="24" t="s">
        <v>30</v>
      </c>
      <c r="E9" s="24" t="s">
        <v>30</v>
      </c>
      <c r="F9" s="24" t="s">
        <v>30</v>
      </c>
      <c r="G9" s="7">
        <v>10</v>
      </c>
      <c r="H9" s="8">
        <v>0.57291666666666663</v>
      </c>
      <c r="I9" s="8">
        <v>0.61458333333333304</v>
      </c>
      <c r="J9" s="9">
        <f t="shared" ref="J9" si="2">I9-H9</f>
        <v>4.1666666666666408E-2</v>
      </c>
      <c r="K9" s="10" t="str">
        <f t="shared" ref="K9" si="3">IFERROR((J9*24*60)/F9,"")</f>
        <v/>
      </c>
      <c r="L9" s="4"/>
      <c r="M9" s="4" t="s">
        <v>51</v>
      </c>
    </row>
    <row r="10" spans="2:13" ht="21" customHeight="1">
      <c r="B10" s="4"/>
      <c r="C10" s="4"/>
      <c r="D10" s="5" t="s">
        <v>21</v>
      </c>
      <c r="E10" s="6">
        <v>1500</v>
      </c>
      <c r="F10" s="6">
        <v>1584</v>
      </c>
      <c r="G10" s="7">
        <v>34</v>
      </c>
      <c r="H10" s="8">
        <v>0.625</v>
      </c>
      <c r="I10" s="8">
        <v>0.65277777777777779</v>
      </c>
      <c r="J10" s="9">
        <f t="shared" si="0"/>
        <v>2.777777777777779E-2</v>
      </c>
      <c r="K10" s="10">
        <f t="shared" si="1"/>
        <v>2.5252525252525262E-2</v>
      </c>
      <c r="L10" s="4"/>
      <c r="M10" s="4" t="s">
        <v>71</v>
      </c>
    </row>
    <row r="11" spans="2:13" ht="21" customHeight="1">
      <c r="B11" s="4"/>
      <c r="C11" s="4"/>
      <c r="D11" s="5" t="s">
        <v>22</v>
      </c>
      <c r="E11" s="6">
        <v>1500</v>
      </c>
      <c r="F11" s="6">
        <v>1584</v>
      </c>
      <c r="G11" s="7">
        <v>34</v>
      </c>
      <c r="H11" s="8">
        <v>0.65277777777777779</v>
      </c>
      <c r="I11" s="8">
        <v>0.68055555555555558</v>
      </c>
      <c r="J11" s="9">
        <f t="shared" si="0"/>
        <v>2.777777777777779E-2</v>
      </c>
      <c r="K11" s="10">
        <f t="shared" si="1"/>
        <v>2.5252525252525262E-2</v>
      </c>
      <c r="L11" s="4"/>
      <c r="M11" s="4"/>
    </row>
    <row r="12" spans="2:13" ht="21" customHeight="1">
      <c r="B12" s="4"/>
      <c r="C12" s="4"/>
      <c r="D12" s="5" t="s">
        <v>72</v>
      </c>
      <c r="E12" s="6">
        <v>2250</v>
      </c>
      <c r="F12" s="6">
        <v>2544</v>
      </c>
      <c r="G12" s="7">
        <v>44</v>
      </c>
      <c r="H12" s="8">
        <v>0.68055555555555558</v>
      </c>
      <c r="I12" s="8">
        <v>0.71527777777777779</v>
      </c>
      <c r="J12" s="9">
        <f t="shared" si="0"/>
        <v>3.472222222222221E-2</v>
      </c>
      <c r="K12" s="10">
        <f t="shared" si="1"/>
        <v>1.9654088050314461E-2</v>
      </c>
      <c r="L12" s="4"/>
      <c r="M12" s="4"/>
    </row>
    <row r="13" spans="2:13" ht="21" customHeight="1">
      <c r="B13" s="4"/>
      <c r="C13" s="4"/>
      <c r="D13" s="24" t="s">
        <v>28</v>
      </c>
      <c r="E13" s="7"/>
      <c r="F13" s="7">
        <v>15</v>
      </c>
      <c r="G13" s="19"/>
      <c r="H13" s="8"/>
      <c r="I13" s="8"/>
      <c r="J13" s="9"/>
      <c r="K13" s="10"/>
      <c r="L13" s="4"/>
      <c r="M13" s="4"/>
    </row>
    <row r="14" spans="2:13" ht="23.25" customHeight="1">
      <c r="B14" s="17"/>
      <c r="C14" s="26"/>
      <c r="D14" s="24" t="s">
        <v>29</v>
      </c>
      <c r="E14" s="7"/>
      <c r="F14" s="7">
        <v>10</v>
      </c>
      <c r="G14" s="19"/>
      <c r="H14" s="8"/>
      <c r="I14" s="8"/>
      <c r="J14" s="9"/>
      <c r="K14" s="20"/>
      <c r="L14" s="21"/>
      <c r="M14" s="4"/>
    </row>
    <row r="15" spans="2:13" ht="23.25" customHeight="1">
      <c r="B15" s="4"/>
      <c r="C15" s="22"/>
      <c r="D15" s="24" t="s">
        <v>30</v>
      </c>
      <c r="E15" s="24" t="s">
        <v>30</v>
      </c>
      <c r="F15" s="24" t="s">
        <v>30</v>
      </c>
      <c r="G15" s="7">
        <v>44</v>
      </c>
      <c r="H15" s="8">
        <v>0.71527777777777779</v>
      </c>
      <c r="I15" s="8">
        <v>0.72916666666666663</v>
      </c>
      <c r="J15" s="9">
        <f t="shared" ref="J15:J16" si="4">I15-H15</f>
        <v>1.388888888888884E-2</v>
      </c>
      <c r="K15" s="10" t="str">
        <f t="shared" ref="K15" si="5">IFERROR((J15*24*60)/F15,"")</f>
        <v/>
      </c>
      <c r="L15" s="21"/>
      <c r="M15" s="25" t="s">
        <v>51</v>
      </c>
    </row>
    <row r="16" spans="2:13" ht="23.25" customHeight="1">
      <c r="B16" s="17"/>
      <c r="C16" s="26" t="s">
        <v>62</v>
      </c>
      <c r="D16" s="24" t="s">
        <v>14</v>
      </c>
      <c r="E16" s="7">
        <v>1500</v>
      </c>
      <c r="F16" s="6">
        <v>1512</v>
      </c>
      <c r="G16" s="19" t="s">
        <v>73</v>
      </c>
      <c r="H16" s="8">
        <v>0.72916666666666663</v>
      </c>
      <c r="I16" s="8">
        <v>0.75694444444444442</v>
      </c>
      <c r="J16" s="9">
        <f t="shared" si="4"/>
        <v>2.777777777777779E-2</v>
      </c>
      <c r="K16" s="20">
        <f t="shared" si="1"/>
        <v>2.6455026455026464E-2</v>
      </c>
      <c r="L16" s="21"/>
      <c r="M16" s="4"/>
    </row>
    <row r="17" spans="2:13" ht="23.25" customHeight="1">
      <c r="B17" s="22"/>
      <c r="C17" s="26"/>
      <c r="D17" s="24" t="s">
        <v>17</v>
      </c>
      <c r="E17" s="7">
        <v>1500</v>
      </c>
      <c r="F17" s="6">
        <v>1512</v>
      </c>
      <c r="G17" s="19" t="s">
        <v>74</v>
      </c>
      <c r="H17" s="8">
        <v>0.75694444444444442</v>
      </c>
      <c r="I17" s="8">
        <v>0.77777777777777779</v>
      </c>
      <c r="J17" s="9">
        <f t="shared" si="0"/>
        <v>2.083333333333337E-2</v>
      </c>
      <c r="K17" s="20">
        <f t="shared" si="1"/>
        <v>1.9841269841269875E-2</v>
      </c>
      <c r="L17" s="21"/>
      <c r="M17" s="4" t="s">
        <v>75</v>
      </c>
    </row>
    <row r="18" spans="2:13" ht="23.25" customHeight="1">
      <c r="B18" s="22"/>
      <c r="C18" s="22"/>
      <c r="D18" s="5" t="s">
        <v>18</v>
      </c>
      <c r="E18" s="7">
        <v>1500</v>
      </c>
      <c r="F18" s="6">
        <v>1512</v>
      </c>
      <c r="G18" s="19" t="s">
        <v>40</v>
      </c>
      <c r="H18" s="8">
        <v>0.77777777777777779</v>
      </c>
      <c r="I18" s="8">
        <v>0.79513888888888884</v>
      </c>
      <c r="J18" s="9">
        <f t="shared" si="0"/>
        <v>1.7361111111111049E-2</v>
      </c>
      <c r="K18" s="20">
        <f t="shared" si="1"/>
        <v>1.6534391534391474E-2</v>
      </c>
      <c r="L18" s="21"/>
      <c r="M18" s="25" t="s">
        <v>76</v>
      </c>
    </row>
    <row r="19" spans="2:13" ht="24" customHeight="1">
      <c r="B19" s="4"/>
      <c r="C19" s="26"/>
      <c r="D19" s="5" t="s">
        <v>19</v>
      </c>
      <c r="E19" s="7">
        <v>1500</v>
      </c>
      <c r="F19" s="6">
        <v>1512</v>
      </c>
      <c r="G19" s="19" t="s">
        <v>34</v>
      </c>
      <c r="H19" s="8">
        <v>0.79513888888888884</v>
      </c>
      <c r="I19" s="8">
        <v>0.8125</v>
      </c>
      <c r="J19" s="9">
        <f t="shared" si="0"/>
        <v>1.736111111111116E-2</v>
      </c>
      <c r="K19" s="20">
        <f t="shared" si="1"/>
        <v>1.6534391534391582E-2</v>
      </c>
      <c r="L19" s="21"/>
      <c r="M19" s="25" t="s">
        <v>77</v>
      </c>
    </row>
    <row r="20" spans="2:13" ht="24" customHeight="1">
      <c r="B20" s="21"/>
      <c r="C20" s="22"/>
      <c r="D20" s="5" t="s">
        <v>20</v>
      </c>
      <c r="E20" s="7">
        <v>1500</v>
      </c>
      <c r="F20" s="14">
        <v>1560</v>
      </c>
      <c r="G20" s="19" t="s">
        <v>34</v>
      </c>
      <c r="H20" s="8">
        <v>0.8125</v>
      </c>
      <c r="I20" s="8">
        <v>0.82986111111111116</v>
      </c>
      <c r="J20" s="9">
        <f t="shared" si="0"/>
        <v>1.736111111111116E-2</v>
      </c>
      <c r="K20" s="20">
        <f>IFERROR((J20*24*60)/F20,"")</f>
        <v>1.6025641025641073E-2</v>
      </c>
      <c r="L20" s="21"/>
      <c r="M20" s="25"/>
    </row>
    <row r="21" spans="2:13" ht="24" customHeight="1">
      <c r="B21" s="21"/>
      <c r="C21" s="22"/>
      <c r="D21" s="5" t="s">
        <v>21</v>
      </c>
      <c r="E21" s="7">
        <v>1500</v>
      </c>
      <c r="F21" s="14">
        <v>1536</v>
      </c>
      <c r="G21" s="19" t="s">
        <v>34</v>
      </c>
      <c r="H21" s="8">
        <v>0.82986111111111116</v>
      </c>
      <c r="I21" s="8">
        <v>0.84722222222222221</v>
      </c>
      <c r="J21" s="9">
        <f t="shared" si="0"/>
        <v>1.7361111111111049E-2</v>
      </c>
      <c r="K21" s="20">
        <f t="shared" ref="K21:K25" si="6">IFERROR((J21*24*60)/F21,"")</f>
        <v>1.6276041666666609E-2</v>
      </c>
      <c r="L21" s="21"/>
      <c r="M21" s="25"/>
    </row>
    <row r="22" spans="2:13" ht="24" customHeight="1">
      <c r="B22" s="21"/>
      <c r="C22" s="22"/>
      <c r="D22" s="5" t="s">
        <v>22</v>
      </c>
      <c r="E22" s="7">
        <v>1500</v>
      </c>
      <c r="F22" s="14">
        <v>1560</v>
      </c>
      <c r="G22" s="19" t="s">
        <v>34</v>
      </c>
      <c r="H22" s="8">
        <v>0.84722222222222221</v>
      </c>
      <c r="I22" s="15">
        <v>0.86458333333333337</v>
      </c>
      <c r="J22" s="9">
        <f t="shared" si="0"/>
        <v>1.736111111111116E-2</v>
      </c>
      <c r="K22" s="20">
        <f t="shared" si="6"/>
        <v>1.6025641025641073E-2</v>
      </c>
      <c r="L22" s="21"/>
      <c r="M22" s="25"/>
    </row>
    <row r="23" spans="2:13" ht="24" customHeight="1">
      <c r="B23" s="21"/>
      <c r="C23" s="22"/>
      <c r="D23" s="5" t="s">
        <v>23</v>
      </c>
      <c r="E23" s="7">
        <v>1500</v>
      </c>
      <c r="F23" s="14">
        <v>1560</v>
      </c>
      <c r="G23" s="19" t="s">
        <v>34</v>
      </c>
      <c r="H23" s="15">
        <v>0.86458333333333337</v>
      </c>
      <c r="I23" s="15">
        <v>0.88541666666666663</v>
      </c>
      <c r="J23" s="9">
        <f t="shared" si="0"/>
        <v>2.0833333333333259E-2</v>
      </c>
      <c r="K23" s="20">
        <f>IFERROR((J23*24*60)/F23,"")</f>
        <v>1.9230769230769162E-2</v>
      </c>
      <c r="L23" s="21"/>
      <c r="M23" s="25"/>
    </row>
    <row r="24" spans="2:13" ht="24" customHeight="1">
      <c r="B24" s="21"/>
      <c r="C24" s="22"/>
      <c r="D24" s="5" t="s">
        <v>24</v>
      </c>
      <c r="E24" s="7">
        <v>1500</v>
      </c>
      <c r="F24" s="14">
        <v>1560</v>
      </c>
      <c r="G24" s="19" t="s">
        <v>34</v>
      </c>
      <c r="H24" s="15">
        <v>0.88541666666666663</v>
      </c>
      <c r="I24" s="15">
        <v>0.90277777777777779</v>
      </c>
      <c r="J24" s="9">
        <f t="shared" si="0"/>
        <v>1.736111111111116E-2</v>
      </c>
      <c r="K24" s="20">
        <f t="shared" si="6"/>
        <v>1.6025641025641073E-2</v>
      </c>
      <c r="L24" s="21"/>
      <c r="M24" s="25"/>
    </row>
    <row r="25" spans="2:13" ht="24" customHeight="1">
      <c r="B25" s="21"/>
      <c r="C25" s="22"/>
      <c r="D25" s="5" t="s">
        <v>25</v>
      </c>
      <c r="E25" s="7">
        <v>1500</v>
      </c>
      <c r="F25" s="14">
        <v>1536</v>
      </c>
      <c r="G25" s="19" t="s">
        <v>34</v>
      </c>
      <c r="H25" s="15">
        <v>0.90277777777777779</v>
      </c>
      <c r="I25" s="15">
        <v>0.91666666666666663</v>
      </c>
      <c r="J25" s="9">
        <f t="shared" si="0"/>
        <v>1.388888888888884E-2</v>
      </c>
      <c r="K25" s="20">
        <f t="shared" si="6"/>
        <v>1.3020833333333287E-2</v>
      </c>
      <c r="L25" s="21"/>
      <c r="M25" s="25"/>
    </row>
    <row r="26" spans="2:13" ht="24" customHeight="1">
      <c r="B26" s="21"/>
      <c r="C26" s="22"/>
      <c r="D26" s="5" t="s">
        <v>26</v>
      </c>
      <c r="E26" s="7">
        <v>1500</v>
      </c>
      <c r="F26" s="14">
        <v>1560</v>
      </c>
      <c r="G26" s="19" t="s">
        <v>34</v>
      </c>
      <c r="H26" s="15">
        <v>0.91666666666666663</v>
      </c>
      <c r="I26" s="15">
        <v>0.93402777777777779</v>
      </c>
      <c r="J26" s="9">
        <f t="shared" ref="J26:J27" si="7">I26-H26</f>
        <v>1.736111111111116E-2</v>
      </c>
      <c r="K26" s="20">
        <f t="shared" ref="K26:K27" si="8">IFERROR((J26*24*60)/F26,"")</f>
        <v>1.6025641025641073E-2</v>
      </c>
      <c r="L26" s="21"/>
      <c r="M26" s="25"/>
    </row>
    <row r="27" spans="2:13" ht="24" customHeight="1">
      <c r="B27" s="21"/>
      <c r="C27" s="22"/>
      <c r="D27" s="5" t="s">
        <v>27</v>
      </c>
      <c r="E27" s="7">
        <v>1500</v>
      </c>
      <c r="F27" s="14">
        <v>1680</v>
      </c>
      <c r="G27" s="19" t="s">
        <v>34</v>
      </c>
      <c r="H27" s="15">
        <v>0.93402777777777779</v>
      </c>
      <c r="I27" s="15">
        <v>0.95486111111111116</v>
      </c>
      <c r="J27" s="9">
        <f t="shared" si="7"/>
        <v>2.083333333333337E-2</v>
      </c>
      <c r="K27" s="20">
        <f t="shared" si="8"/>
        <v>1.7857142857142887E-2</v>
      </c>
      <c r="L27" s="21"/>
      <c r="M27" s="25"/>
    </row>
    <row r="28" spans="2:13" ht="24" customHeight="1">
      <c r="B28" s="21"/>
      <c r="C28" s="22"/>
      <c r="D28" s="24" t="s">
        <v>28</v>
      </c>
      <c r="E28" s="7"/>
      <c r="F28" s="7">
        <v>8</v>
      </c>
      <c r="G28" s="19"/>
      <c r="H28" s="15"/>
      <c r="I28" s="15"/>
      <c r="J28" s="9"/>
      <c r="K28" s="20"/>
      <c r="L28" s="21"/>
      <c r="M28" s="25"/>
    </row>
    <row r="29" spans="2:13" ht="24" customHeight="1">
      <c r="B29" s="21"/>
      <c r="C29" s="22"/>
      <c r="D29" s="24" t="s">
        <v>29</v>
      </c>
      <c r="E29" s="7"/>
      <c r="F29" s="7">
        <v>12</v>
      </c>
      <c r="G29" s="19"/>
      <c r="H29" s="15"/>
      <c r="I29" s="15"/>
      <c r="J29" s="9"/>
      <c r="K29" s="20"/>
      <c r="L29" s="21"/>
      <c r="M29" s="25"/>
    </row>
    <row r="30" spans="2:13" ht="24" customHeight="1">
      <c r="B30" s="4"/>
      <c r="C30" s="28" t="s">
        <v>36</v>
      </c>
      <c r="D30" s="29"/>
      <c r="E30" s="30">
        <f>SUM(E4:E29)</f>
        <v>30750</v>
      </c>
      <c r="F30" s="30">
        <f>SUM(F4:F29)</f>
        <v>31797</v>
      </c>
      <c r="I30" s="31"/>
    </row>
    <row r="31" spans="2:13" ht="24" customHeight="1">
      <c r="C31" s="32"/>
      <c r="I31" s="31"/>
    </row>
    <row r="32" spans="2:13" ht="24" customHeight="1">
      <c r="B32" s="32"/>
      <c r="I32" s="31"/>
    </row>
    <row r="33" spans="9:12" ht="20.25" customHeight="1">
      <c r="I33" s="31"/>
    </row>
    <row r="34" spans="9:12" ht="20.25" customHeight="1">
      <c r="I34" s="31"/>
    </row>
    <row r="35" spans="9:12" ht="20.25" customHeight="1"/>
    <row r="36" spans="9:12" ht="20.25" customHeight="1"/>
    <row r="37" spans="9:12" ht="20.25" customHeight="1">
      <c r="L37" s="3" t="s">
        <v>37</v>
      </c>
    </row>
    <row r="38" spans="9:12" ht="20.25" customHeight="1"/>
    <row r="39" spans="9:12" ht="20.25" customHeight="1"/>
    <row r="40" spans="9:12" ht="21" customHeight="1"/>
    <row r="41" spans="9:12" ht="21" customHeight="1"/>
    <row r="42" spans="9:12" ht="18" customHeight="1"/>
    <row r="43" spans="9:12" ht="18" customHeight="1">
      <c r="I43" s="33"/>
    </row>
    <row r="44" spans="9:12" ht="18" customHeight="1"/>
    <row r="45" spans="9:12" ht="18" customHeight="1"/>
    <row r="46" spans="9:12" ht="18" customHeight="1"/>
    <row r="47" spans="9:12" ht="18" customHeight="1"/>
    <row r="48" spans="9:12" ht="18" customHeight="1"/>
    <row r="49" spans="2:13" ht="18" customHeight="1"/>
    <row r="50" spans="2:13" ht="18" customHeight="1"/>
    <row r="56" spans="2:13" s="34" customFormat="1" ht="27.6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670B-9934-4401-BD99-9EB9995CA6CE}">
  <dimension ref="B2:M56"/>
  <sheetViews>
    <sheetView topLeftCell="A12" zoomScale="80" zoomScaleNormal="80" workbookViewId="0">
      <selection activeCell="S33" sqref="S33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46268</v>
      </c>
      <c r="C4" s="18" t="s">
        <v>78</v>
      </c>
      <c r="D4" s="5" t="s">
        <v>14</v>
      </c>
      <c r="E4" s="6">
        <v>900</v>
      </c>
      <c r="F4" s="6">
        <v>864</v>
      </c>
      <c r="G4" s="7">
        <v>56</v>
      </c>
      <c r="H4" s="8">
        <v>0.38541666666666669</v>
      </c>
      <c r="I4" s="8">
        <v>0.39583333333333331</v>
      </c>
      <c r="J4" s="9">
        <f>I4-H4</f>
        <v>1.041666666666663E-2</v>
      </c>
      <c r="K4" s="10">
        <f>IFERROR((J4*24*60)/F4,"")</f>
        <v>1.7361111111111049E-2</v>
      </c>
      <c r="L4" s="11"/>
      <c r="M4" s="4" t="s">
        <v>79</v>
      </c>
    </row>
    <row r="5" spans="2:13" ht="21" customHeight="1">
      <c r="B5" s="22" t="s">
        <v>80</v>
      </c>
      <c r="C5" s="4"/>
      <c r="D5" s="5" t="s">
        <v>17</v>
      </c>
      <c r="E5" s="6">
        <v>900</v>
      </c>
      <c r="F5" s="6">
        <v>864</v>
      </c>
      <c r="G5" s="7">
        <v>56</v>
      </c>
      <c r="H5" s="8">
        <v>0.39583333333333331</v>
      </c>
      <c r="I5" s="8">
        <v>0.40277777777777779</v>
      </c>
      <c r="J5" s="9">
        <f>I5-H5</f>
        <v>6.9444444444444753E-3</v>
      </c>
      <c r="K5" s="10">
        <f t="shared" ref="K5:K14" si="0">IFERROR((J5*24*60)/F5,"")</f>
        <v>1.1574074074074125E-2</v>
      </c>
      <c r="L5" s="12"/>
      <c r="M5" s="4"/>
    </row>
    <row r="6" spans="2:13" ht="21" customHeight="1">
      <c r="B6" s="4"/>
      <c r="C6" s="4"/>
      <c r="D6" s="5" t="s">
        <v>18</v>
      </c>
      <c r="E6" s="6">
        <v>900</v>
      </c>
      <c r="F6" s="6">
        <v>864</v>
      </c>
      <c r="G6" s="7">
        <v>56</v>
      </c>
      <c r="H6" s="8">
        <v>0.40277777777777779</v>
      </c>
      <c r="I6" s="8">
        <v>0.46527777777777779</v>
      </c>
      <c r="J6" s="9">
        <f>I6-H6</f>
        <v>6.25E-2</v>
      </c>
      <c r="K6" s="10">
        <f t="shared" si="0"/>
        <v>0.10416666666666667</v>
      </c>
      <c r="L6" s="4" t="s">
        <v>81</v>
      </c>
      <c r="M6" s="4" t="s">
        <v>82</v>
      </c>
    </row>
    <row r="7" spans="2:13" ht="21" customHeight="1">
      <c r="B7" s="4"/>
      <c r="C7" s="4"/>
      <c r="D7" s="5" t="s">
        <v>19</v>
      </c>
      <c r="E7" s="6">
        <v>900</v>
      </c>
      <c r="F7" s="6">
        <v>864</v>
      </c>
      <c r="G7" s="7">
        <v>56</v>
      </c>
      <c r="H7" s="8">
        <v>0.46527777777777779</v>
      </c>
      <c r="I7" s="8">
        <v>0.47569444444444442</v>
      </c>
      <c r="J7" s="9">
        <f>I7-H7</f>
        <v>1.041666666666663E-2</v>
      </c>
      <c r="K7" s="10">
        <f t="shared" si="0"/>
        <v>1.7361111111111049E-2</v>
      </c>
      <c r="L7" s="4"/>
      <c r="M7" s="4"/>
    </row>
    <row r="8" spans="2:13" ht="21" customHeight="1">
      <c r="B8" s="4"/>
      <c r="C8" s="4"/>
      <c r="D8" s="5" t="s">
        <v>20</v>
      </c>
      <c r="E8" s="6">
        <v>900</v>
      </c>
      <c r="F8" s="6">
        <v>864</v>
      </c>
      <c r="G8" s="7">
        <v>56</v>
      </c>
      <c r="H8" s="8">
        <v>0.47569444444444442</v>
      </c>
      <c r="I8" s="8">
        <v>0.4861111111111111</v>
      </c>
      <c r="J8" s="9">
        <f t="shared" ref="J8:J27" si="1">I8-H8</f>
        <v>1.0416666666666685E-2</v>
      </c>
      <c r="K8" s="10">
        <f t="shared" si="0"/>
        <v>1.7361111111111143E-2</v>
      </c>
      <c r="L8" s="4"/>
      <c r="M8" s="4"/>
    </row>
    <row r="9" spans="2:13" ht="21" customHeight="1">
      <c r="B9" s="4"/>
      <c r="C9" s="4"/>
      <c r="D9" s="5" t="s">
        <v>21</v>
      </c>
      <c r="E9" s="6">
        <v>900</v>
      </c>
      <c r="F9" s="6">
        <v>864</v>
      </c>
      <c r="G9" s="7">
        <v>56</v>
      </c>
      <c r="H9" s="8">
        <v>0.4861111111111111</v>
      </c>
      <c r="I9" s="8">
        <v>0.49652777777777779</v>
      </c>
      <c r="J9" s="9">
        <f t="shared" si="1"/>
        <v>1.0416666666666685E-2</v>
      </c>
      <c r="K9" s="10">
        <f t="shared" si="0"/>
        <v>1.7361111111111143E-2</v>
      </c>
      <c r="L9" s="4"/>
      <c r="M9" s="4"/>
    </row>
    <row r="10" spans="2:13" ht="21" customHeight="1">
      <c r="B10" s="4"/>
      <c r="C10" s="4"/>
      <c r="D10" s="5" t="s">
        <v>22</v>
      </c>
      <c r="E10" s="6">
        <v>900</v>
      </c>
      <c r="F10" s="6">
        <v>864</v>
      </c>
      <c r="G10" s="7">
        <v>56</v>
      </c>
      <c r="H10" s="8">
        <v>0.49652777777777779</v>
      </c>
      <c r="I10" s="8">
        <v>0.50694444444444442</v>
      </c>
      <c r="J10" s="9">
        <f t="shared" si="1"/>
        <v>1.041666666666663E-2</v>
      </c>
      <c r="K10" s="10">
        <f t="shared" si="0"/>
        <v>1.7361111111111049E-2</v>
      </c>
      <c r="L10" s="4"/>
      <c r="M10" s="4"/>
    </row>
    <row r="11" spans="2:13" ht="21" customHeight="1">
      <c r="B11" s="4"/>
      <c r="C11" s="4"/>
      <c r="D11" s="5" t="s">
        <v>23</v>
      </c>
      <c r="E11" s="6">
        <v>900</v>
      </c>
      <c r="F11" s="6">
        <v>888</v>
      </c>
      <c r="G11" s="7">
        <v>56</v>
      </c>
      <c r="H11" s="8">
        <v>0.50694444444444442</v>
      </c>
      <c r="I11" s="8">
        <v>0.51388888888888884</v>
      </c>
      <c r="J11" s="9">
        <f t="shared" si="1"/>
        <v>6.9444444444444198E-3</v>
      </c>
      <c r="K11" s="10">
        <f t="shared" si="0"/>
        <v>1.1261261261261221E-2</v>
      </c>
      <c r="L11" s="4"/>
      <c r="M11" s="4"/>
    </row>
    <row r="12" spans="2:13" ht="21" customHeight="1">
      <c r="B12" s="4"/>
      <c r="C12" s="4"/>
      <c r="D12" s="5" t="s">
        <v>24</v>
      </c>
      <c r="E12" s="6">
        <v>900</v>
      </c>
      <c r="F12" s="6">
        <v>888</v>
      </c>
      <c r="G12" s="7">
        <v>56</v>
      </c>
      <c r="H12" s="8">
        <v>0.51388888888888884</v>
      </c>
      <c r="I12" s="8">
        <v>0.52083333333333337</v>
      </c>
      <c r="J12" s="9">
        <f t="shared" si="1"/>
        <v>6.9444444444445308E-3</v>
      </c>
      <c r="K12" s="10">
        <f t="shared" si="0"/>
        <v>1.1261261261261401E-2</v>
      </c>
      <c r="L12" s="4"/>
      <c r="M12" s="4"/>
    </row>
    <row r="13" spans="2:13" ht="21" customHeight="1">
      <c r="B13" s="4"/>
      <c r="C13" s="4"/>
      <c r="D13" s="5" t="s">
        <v>25</v>
      </c>
      <c r="E13" s="6">
        <v>900</v>
      </c>
      <c r="F13" s="6">
        <v>888</v>
      </c>
      <c r="G13" s="7">
        <v>56</v>
      </c>
      <c r="H13" s="8">
        <v>0.52083333333333337</v>
      </c>
      <c r="I13" s="8">
        <v>0.52777777777777779</v>
      </c>
      <c r="J13" s="9">
        <f t="shared" si="1"/>
        <v>6.9444444444444198E-3</v>
      </c>
      <c r="K13" s="10">
        <f t="shared" si="0"/>
        <v>1.1261261261261221E-2</v>
      </c>
      <c r="L13" s="4"/>
      <c r="M13" s="4"/>
    </row>
    <row r="14" spans="2:13" ht="21" customHeight="1">
      <c r="B14" s="4"/>
      <c r="C14" s="4"/>
      <c r="D14" s="24" t="s">
        <v>30</v>
      </c>
      <c r="E14" s="24" t="s">
        <v>30</v>
      </c>
      <c r="F14" s="24" t="s">
        <v>30</v>
      </c>
      <c r="G14" s="7">
        <v>10</v>
      </c>
      <c r="H14" s="8">
        <v>0.52777777777777779</v>
      </c>
      <c r="I14" s="8">
        <v>0.56944444444444398</v>
      </c>
      <c r="J14" s="9">
        <f t="shared" si="1"/>
        <v>4.1666666666666186E-2</v>
      </c>
      <c r="K14" s="10" t="str">
        <f t="shared" si="0"/>
        <v/>
      </c>
      <c r="L14" s="21"/>
      <c r="M14" s="25" t="s">
        <v>51</v>
      </c>
    </row>
    <row r="15" spans="2:13" ht="21" customHeight="1">
      <c r="B15" s="4"/>
      <c r="C15" s="4"/>
      <c r="D15" s="5" t="s">
        <v>26</v>
      </c>
      <c r="E15" s="6">
        <v>900</v>
      </c>
      <c r="F15" s="6">
        <v>888</v>
      </c>
      <c r="G15" s="7">
        <v>46</v>
      </c>
      <c r="H15" s="8">
        <v>0.57986111111111116</v>
      </c>
      <c r="I15" s="8">
        <v>0.59375</v>
      </c>
      <c r="J15" s="9">
        <f t="shared" ref="J15:J22" si="2">I15-H15</f>
        <v>1.388888888888884E-2</v>
      </c>
      <c r="K15" s="10">
        <f t="shared" ref="K15:K22" si="3">IFERROR((J15*24*60)/F15,"")</f>
        <v>2.2522522522522442E-2</v>
      </c>
      <c r="L15" s="4"/>
      <c r="M15" s="4"/>
    </row>
    <row r="16" spans="2:13" ht="21" customHeight="1">
      <c r="B16" s="4"/>
      <c r="C16" s="4"/>
      <c r="D16" s="5" t="s">
        <v>27</v>
      </c>
      <c r="E16" s="6">
        <v>900</v>
      </c>
      <c r="F16" s="6">
        <v>888</v>
      </c>
      <c r="G16" s="7">
        <v>46</v>
      </c>
      <c r="H16" s="8">
        <v>0.59375</v>
      </c>
      <c r="I16" s="8">
        <v>0.60069444444444442</v>
      </c>
      <c r="J16" s="9">
        <f t="shared" si="2"/>
        <v>6.9444444444444198E-3</v>
      </c>
      <c r="K16" s="10">
        <f t="shared" si="3"/>
        <v>1.1261261261261221E-2</v>
      </c>
      <c r="L16" s="4"/>
      <c r="M16" s="4"/>
    </row>
    <row r="17" spans="2:13" ht="21" customHeight="1">
      <c r="B17" s="4"/>
      <c r="C17" s="4"/>
      <c r="D17" s="5" t="s">
        <v>49</v>
      </c>
      <c r="E17" s="6">
        <v>900</v>
      </c>
      <c r="F17" s="6">
        <v>888</v>
      </c>
      <c r="G17" s="7">
        <v>46</v>
      </c>
      <c r="H17" s="8">
        <v>0.60069444444444442</v>
      </c>
      <c r="I17" s="8">
        <v>0.61111111111111116</v>
      </c>
      <c r="J17" s="9">
        <f t="shared" si="2"/>
        <v>1.0416666666666741E-2</v>
      </c>
      <c r="K17" s="10">
        <f t="shared" si="3"/>
        <v>1.6891891891892011E-2</v>
      </c>
      <c r="L17" s="4"/>
      <c r="M17" s="4"/>
    </row>
    <row r="18" spans="2:13" ht="21" customHeight="1">
      <c r="B18" s="4"/>
      <c r="C18" s="4"/>
      <c r="D18" s="5" t="s">
        <v>50</v>
      </c>
      <c r="E18" s="6">
        <v>900</v>
      </c>
      <c r="F18" s="6">
        <v>888</v>
      </c>
      <c r="G18" s="7">
        <v>46</v>
      </c>
      <c r="H18" s="8">
        <v>0.61111111111111116</v>
      </c>
      <c r="I18" s="8">
        <v>0.62152777777777779</v>
      </c>
      <c r="J18" s="9">
        <f t="shared" si="2"/>
        <v>1.041666666666663E-2</v>
      </c>
      <c r="K18" s="10">
        <f t="shared" si="3"/>
        <v>1.689189189189183E-2</v>
      </c>
      <c r="L18" s="4"/>
      <c r="M18" s="4"/>
    </row>
    <row r="19" spans="2:13" ht="21" customHeight="1">
      <c r="B19" s="4"/>
      <c r="C19" s="4"/>
      <c r="D19" s="5" t="s">
        <v>52</v>
      </c>
      <c r="E19" s="6">
        <v>900</v>
      </c>
      <c r="F19" s="6">
        <v>888</v>
      </c>
      <c r="G19" s="7">
        <v>56</v>
      </c>
      <c r="H19" s="8">
        <v>0.62152777777777779</v>
      </c>
      <c r="I19" s="8">
        <v>0.62847222222222221</v>
      </c>
      <c r="J19" s="9">
        <f t="shared" si="2"/>
        <v>6.9444444444444198E-3</v>
      </c>
      <c r="K19" s="10">
        <f t="shared" si="3"/>
        <v>1.1261261261261221E-2</v>
      </c>
      <c r="L19" s="4"/>
      <c r="M19" s="4"/>
    </row>
    <row r="20" spans="2:13" ht="21" customHeight="1">
      <c r="B20" s="4"/>
      <c r="C20" s="4"/>
      <c r="D20" s="5" t="s">
        <v>54</v>
      </c>
      <c r="E20" s="6">
        <v>900</v>
      </c>
      <c r="F20" s="6">
        <v>912</v>
      </c>
      <c r="G20" s="7">
        <v>56</v>
      </c>
      <c r="H20" s="8">
        <v>0.62847222222222221</v>
      </c>
      <c r="I20" s="8">
        <v>0.63888888888888884</v>
      </c>
      <c r="J20" s="9">
        <f t="shared" si="2"/>
        <v>1.041666666666663E-2</v>
      </c>
      <c r="K20" s="10">
        <f t="shared" si="3"/>
        <v>1.6447368421052572E-2</v>
      </c>
      <c r="L20" s="4"/>
      <c r="M20" s="4"/>
    </row>
    <row r="21" spans="2:13" ht="21" customHeight="1">
      <c r="B21" s="4"/>
      <c r="C21" s="4"/>
      <c r="D21" s="5" t="s">
        <v>55</v>
      </c>
      <c r="E21" s="6">
        <v>900</v>
      </c>
      <c r="F21" s="6">
        <v>888</v>
      </c>
      <c r="G21" s="7">
        <v>56</v>
      </c>
      <c r="H21" s="8">
        <v>0.63888888888888884</v>
      </c>
      <c r="I21" s="8">
        <v>0.65625</v>
      </c>
      <c r="J21" s="9">
        <f t="shared" si="2"/>
        <v>1.736111111111116E-2</v>
      </c>
      <c r="K21" s="10">
        <f t="shared" si="3"/>
        <v>2.8153153153153233E-2</v>
      </c>
      <c r="L21" s="4"/>
      <c r="M21" s="4"/>
    </row>
    <row r="22" spans="2:13" ht="21" customHeight="1">
      <c r="B22" s="4"/>
      <c r="C22" s="4"/>
      <c r="D22" s="5" t="s">
        <v>83</v>
      </c>
      <c r="E22" s="6">
        <v>900</v>
      </c>
      <c r="F22" s="6">
        <v>816</v>
      </c>
      <c r="G22" s="7">
        <v>56</v>
      </c>
      <c r="H22" s="8">
        <v>0.65625</v>
      </c>
      <c r="I22" s="8">
        <v>0.68055555555555558</v>
      </c>
      <c r="J22" s="9">
        <f t="shared" si="2"/>
        <v>2.430555555555558E-2</v>
      </c>
      <c r="K22" s="10">
        <f t="shared" si="3"/>
        <v>4.289215686274514E-2</v>
      </c>
      <c r="L22" s="4" t="s">
        <v>84</v>
      </c>
      <c r="M22" s="4" t="s">
        <v>82</v>
      </c>
    </row>
    <row r="23" spans="2:13" ht="21" customHeight="1">
      <c r="B23" s="4"/>
      <c r="C23" s="4"/>
      <c r="D23" s="24" t="s">
        <v>28</v>
      </c>
      <c r="E23" s="7"/>
      <c r="F23" s="7">
        <v>9</v>
      </c>
      <c r="G23" s="19"/>
      <c r="H23" s="8"/>
      <c r="I23" s="8"/>
      <c r="J23" s="9"/>
      <c r="K23" s="10"/>
      <c r="L23" s="4"/>
      <c r="M23" s="4"/>
    </row>
    <row r="24" spans="2:13" ht="23.25" customHeight="1">
      <c r="B24" s="17"/>
      <c r="C24" s="26"/>
      <c r="D24" s="24" t="s">
        <v>29</v>
      </c>
      <c r="E24" s="7"/>
      <c r="F24" s="7">
        <v>20</v>
      </c>
      <c r="G24" s="19"/>
      <c r="H24" s="8"/>
      <c r="I24" s="8"/>
      <c r="J24" s="9"/>
      <c r="K24" s="20"/>
      <c r="L24" s="21"/>
      <c r="M24" s="4"/>
    </row>
    <row r="25" spans="2:13" ht="23.25" customHeight="1">
      <c r="B25" s="4"/>
      <c r="C25" s="22"/>
      <c r="D25" s="24" t="s">
        <v>30</v>
      </c>
      <c r="E25" s="24" t="s">
        <v>30</v>
      </c>
      <c r="F25" s="24" t="s">
        <v>30</v>
      </c>
      <c r="G25" s="7">
        <v>56</v>
      </c>
      <c r="H25" s="8">
        <v>0.68055555555555558</v>
      </c>
      <c r="I25" s="8">
        <v>0.69444444444444442</v>
      </c>
      <c r="J25" s="9">
        <f t="shared" ref="J25:J26" si="4">I25-H25</f>
        <v>1.388888888888884E-2</v>
      </c>
      <c r="K25" s="10" t="str">
        <f t="shared" ref="K25:K27" si="5">IFERROR((J25*24*60)/F25,"")</f>
        <v/>
      </c>
      <c r="L25" s="21"/>
      <c r="M25" s="25" t="s">
        <v>51</v>
      </c>
    </row>
    <row r="26" spans="2:13" ht="23.25" customHeight="1">
      <c r="B26" s="17"/>
      <c r="C26" s="26" t="s">
        <v>85</v>
      </c>
      <c r="D26" s="24" t="s">
        <v>14</v>
      </c>
      <c r="E26" s="7">
        <v>1500</v>
      </c>
      <c r="F26" s="6">
        <v>1488</v>
      </c>
      <c r="G26" s="19" t="s">
        <v>34</v>
      </c>
      <c r="H26" s="8">
        <v>0.69444444444444442</v>
      </c>
      <c r="I26" s="8">
        <v>0.79513888888888884</v>
      </c>
      <c r="J26" s="9">
        <f t="shared" si="4"/>
        <v>0.10069444444444442</v>
      </c>
      <c r="K26" s="20">
        <f t="shared" si="5"/>
        <v>9.7446236559139768E-2</v>
      </c>
      <c r="L26" s="4" t="s">
        <v>86</v>
      </c>
      <c r="M26" s="4" t="s">
        <v>82</v>
      </c>
    </row>
    <row r="27" spans="2:13" ht="23.25" customHeight="1">
      <c r="B27" s="22"/>
      <c r="C27" s="26"/>
      <c r="D27" s="24" t="s">
        <v>17</v>
      </c>
      <c r="E27" s="7">
        <v>1500</v>
      </c>
      <c r="F27" s="6">
        <v>1224</v>
      </c>
      <c r="G27" s="19" t="s">
        <v>34</v>
      </c>
      <c r="H27" s="8">
        <v>0.79513888888888884</v>
      </c>
      <c r="I27" s="8">
        <v>0.8125</v>
      </c>
      <c r="J27" s="9">
        <f t="shared" si="1"/>
        <v>1.736111111111116E-2</v>
      </c>
      <c r="K27" s="20">
        <f t="shared" si="5"/>
        <v>2.0424836601307249E-2</v>
      </c>
      <c r="L27" s="21"/>
      <c r="M27" s="4"/>
    </row>
    <row r="28" spans="2:13" ht="24" customHeight="1">
      <c r="B28" s="21"/>
      <c r="C28" s="26"/>
      <c r="D28" s="24" t="s">
        <v>28</v>
      </c>
      <c r="E28" s="7"/>
      <c r="F28" s="7">
        <v>14</v>
      </c>
      <c r="G28" s="19"/>
      <c r="H28" s="8"/>
      <c r="I28" s="8"/>
      <c r="J28" s="9"/>
      <c r="K28" s="10"/>
      <c r="L28" s="21"/>
      <c r="M28" s="25"/>
    </row>
    <row r="29" spans="2:13" ht="24" customHeight="1">
      <c r="B29" s="21"/>
      <c r="C29" s="26"/>
      <c r="D29" s="24" t="s">
        <v>29</v>
      </c>
      <c r="E29" s="7"/>
      <c r="F29" s="7">
        <v>5</v>
      </c>
      <c r="G29" s="19"/>
      <c r="H29" s="8"/>
      <c r="I29" s="8"/>
      <c r="J29" s="9"/>
      <c r="K29" s="20"/>
      <c r="L29" s="21"/>
      <c r="M29" s="25"/>
    </row>
    <row r="30" spans="2:13" ht="24" customHeight="1">
      <c r="B30" s="4"/>
      <c r="C30" s="28" t="s">
        <v>36</v>
      </c>
      <c r="D30" s="29"/>
      <c r="E30" s="30">
        <f>SUM(E4:E29)</f>
        <v>19200</v>
      </c>
      <c r="F30" s="30">
        <f>SUM(F4:F29)</f>
        <v>18528</v>
      </c>
      <c r="I30" s="31"/>
    </row>
    <row r="31" spans="2:13" ht="24" customHeight="1">
      <c r="C31" s="32"/>
      <c r="I31" s="31"/>
    </row>
    <row r="32" spans="2:13" ht="24" customHeight="1">
      <c r="B32" s="32"/>
      <c r="I32" s="31"/>
    </row>
    <row r="33" spans="9:12" ht="20.25" customHeight="1">
      <c r="I33" s="31"/>
    </row>
    <row r="34" spans="9:12" ht="20.25" customHeight="1">
      <c r="I34" s="31"/>
    </row>
    <row r="35" spans="9:12" ht="20.25" customHeight="1"/>
    <row r="36" spans="9:12" ht="20.25" customHeight="1"/>
    <row r="37" spans="9:12" ht="20.25" customHeight="1">
      <c r="L37" s="3" t="s">
        <v>37</v>
      </c>
    </row>
    <row r="38" spans="9:12" ht="20.25" customHeight="1"/>
    <row r="39" spans="9:12" ht="20.25" customHeight="1"/>
    <row r="40" spans="9:12" ht="21" customHeight="1"/>
    <row r="41" spans="9:12" ht="21" customHeight="1"/>
    <row r="42" spans="9:12" ht="18" customHeight="1"/>
    <row r="43" spans="9:12" ht="18" customHeight="1">
      <c r="I43" s="33"/>
    </row>
    <row r="44" spans="9:12" ht="18" customHeight="1"/>
    <row r="45" spans="9:12" ht="18" customHeight="1"/>
    <row r="46" spans="9:12" ht="18" customHeight="1"/>
    <row r="47" spans="9:12" ht="18" customHeight="1"/>
    <row r="48" spans="9:12" ht="18" customHeight="1"/>
    <row r="49" spans="2:13" ht="18" customHeight="1"/>
    <row r="50" spans="2:13" ht="18" customHeight="1"/>
    <row r="56" spans="2:13" s="34" customFormat="1" ht="27.6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D00E-450F-4B7B-9D2C-D9DA5F982D3C}">
  <dimension ref="B2:M58"/>
  <sheetViews>
    <sheetView topLeftCell="A27" zoomScale="80" zoomScaleNormal="80" workbookViewId="0">
      <selection activeCell="M4" sqref="M4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46206</v>
      </c>
      <c r="C4" s="18" t="s">
        <v>87</v>
      </c>
      <c r="D4" s="5" t="s">
        <v>14</v>
      </c>
      <c r="E4" s="6">
        <v>1500</v>
      </c>
      <c r="F4" s="6">
        <v>1512</v>
      </c>
      <c r="G4" s="7">
        <v>56</v>
      </c>
      <c r="H4" s="8">
        <v>0.38541666666666669</v>
      </c>
      <c r="I4" s="8">
        <v>0.40625</v>
      </c>
      <c r="J4" s="9">
        <f>I4-H4</f>
        <v>2.0833333333333315E-2</v>
      </c>
      <c r="K4" s="10">
        <f>IFERROR((J4*24*60)/F4,"")</f>
        <v>1.9841269841269823E-2</v>
      </c>
      <c r="L4" s="11"/>
      <c r="M4" s="4" t="s">
        <v>79</v>
      </c>
    </row>
    <row r="5" spans="2:13" ht="21" customHeight="1">
      <c r="B5" s="22" t="s">
        <v>88</v>
      </c>
      <c r="C5" s="4"/>
      <c r="D5" s="5" t="s">
        <v>17</v>
      </c>
      <c r="E5" s="6">
        <v>1500</v>
      </c>
      <c r="F5" s="6">
        <v>1488</v>
      </c>
      <c r="G5" s="7">
        <v>56</v>
      </c>
      <c r="H5" s="8">
        <v>0.40625</v>
      </c>
      <c r="I5" s="8">
        <v>0.4236111111111111</v>
      </c>
      <c r="J5" s="9">
        <f>I5-H5</f>
        <v>1.7361111111111105E-2</v>
      </c>
      <c r="K5" s="10">
        <f t="shared" ref="K5:K13" si="0">IFERROR((J5*24*60)/F5,"")</f>
        <v>1.68010752688172E-2</v>
      </c>
      <c r="L5" s="12"/>
      <c r="M5" s="4"/>
    </row>
    <row r="6" spans="2:13" ht="21" customHeight="1">
      <c r="B6" s="4"/>
      <c r="C6" s="4"/>
      <c r="D6" s="5" t="s">
        <v>18</v>
      </c>
      <c r="E6" s="6">
        <v>1500</v>
      </c>
      <c r="F6" s="6">
        <v>1488</v>
      </c>
      <c r="G6" s="7">
        <v>56</v>
      </c>
      <c r="H6" s="8">
        <v>0.4236111111111111</v>
      </c>
      <c r="I6" s="8">
        <v>0.44444444444444442</v>
      </c>
      <c r="J6" s="9">
        <f>I6-H6</f>
        <v>2.0833333333333315E-2</v>
      </c>
      <c r="K6" s="10">
        <f t="shared" si="0"/>
        <v>2.0161290322580627E-2</v>
      </c>
      <c r="L6" s="4"/>
      <c r="M6" s="4"/>
    </row>
    <row r="7" spans="2:13" ht="21" customHeight="1">
      <c r="B7" s="4"/>
      <c r="C7" s="4"/>
      <c r="D7" s="5" t="s">
        <v>19</v>
      </c>
      <c r="E7" s="6">
        <v>1500</v>
      </c>
      <c r="F7" s="6">
        <v>1512</v>
      </c>
      <c r="G7" s="7">
        <v>56</v>
      </c>
      <c r="H7" s="8">
        <v>0.44444444444444442</v>
      </c>
      <c r="I7" s="8">
        <v>0.46180555555555558</v>
      </c>
      <c r="J7" s="9">
        <f>I7-H7</f>
        <v>1.736111111111116E-2</v>
      </c>
      <c r="K7" s="10">
        <f t="shared" si="0"/>
        <v>1.6534391534391582E-2</v>
      </c>
      <c r="L7" s="4"/>
      <c r="M7" s="4"/>
    </row>
    <row r="8" spans="2:13" ht="21" customHeight="1">
      <c r="B8" s="4"/>
      <c r="C8" s="4"/>
      <c r="D8" s="5" t="s">
        <v>20</v>
      </c>
      <c r="E8" s="6">
        <v>1500</v>
      </c>
      <c r="F8" s="6">
        <v>1512</v>
      </c>
      <c r="G8" s="7">
        <v>56</v>
      </c>
      <c r="H8" s="8">
        <v>0.46180555555555558</v>
      </c>
      <c r="I8" s="8">
        <v>0.47916666666666669</v>
      </c>
      <c r="J8" s="9">
        <f t="shared" ref="J8:J29" si="1">I8-H8</f>
        <v>1.7361111111111105E-2</v>
      </c>
      <c r="K8" s="10">
        <f t="shared" si="0"/>
        <v>1.653439153439153E-2</v>
      </c>
      <c r="L8" s="4"/>
      <c r="M8" s="4"/>
    </row>
    <row r="9" spans="2:13" ht="21" customHeight="1">
      <c r="B9" s="4"/>
      <c r="C9" s="4"/>
      <c r="D9" s="5" t="s">
        <v>21</v>
      </c>
      <c r="E9" s="6">
        <v>1500</v>
      </c>
      <c r="F9" s="6">
        <v>1488</v>
      </c>
      <c r="G9" s="7">
        <v>56</v>
      </c>
      <c r="H9" s="8">
        <v>0.47916666666666669</v>
      </c>
      <c r="I9" s="8">
        <v>0.50347222222222221</v>
      </c>
      <c r="J9" s="9">
        <f t="shared" si="1"/>
        <v>2.4305555555555525E-2</v>
      </c>
      <c r="K9" s="10">
        <f t="shared" si="0"/>
        <v>2.3521505376344058E-2</v>
      </c>
      <c r="L9" s="4"/>
      <c r="M9" s="4"/>
    </row>
    <row r="10" spans="2:13" ht="21" customHeight="1">
      <c r="B10" s="4"/>
      <c r="C10" s="4"/>
      <c r="D10" s="5" t="s">
        <v>22</v>
      </c>
      <c r="E10" s="6">
        <v>1500</v>
      </c>
      <c r="F10" s="6">
        <v>1512</v>
      </c>
      <c r="G10" s="7">
        <v>56</v>
      </c>
      <c r="H10" s="8">
        <v>0.50347222222222221</v>
      </c>
      <c r="I10" s="8">
        <v>0.52430555555555558</v>
      </c>
      <c r="J10" s="9">
        <f t="shared" si="1"/>
        <v>2.083333333333337E-2</v>
      </c>
      <c r="K10" s="10">
        <f t="shared" si="0"/>
        <v>1.9841269841269875E-2</v>
      </c>
      <c r="L10" s="4"/>
      <c r="M10" s="4"/>
    </row>
    <row r="11" spans="2:13" ht="21" customHeight="1">
      <c r="B11" s="4"/>
      <c r="C11" s="4"/>
      <c r="D11" s="5" t="s">
        <v>23</v>
      </c>
      <c r="E11" s="6">
        <v>1500</v>
      </c>
      <c r="F11" s="6">
        <v>1488</v>
      </c>
      <c r="G11" s="7">
        <v>56</v>
      </c>
      <c r="H11" s="8">
        <v>0.52430555555555558</v>
      </c>
      <c r="I11" s="8">
        <v>0.54513888888888884</v>
      </c>
      <c r="J11" s="9">
        <f t="shared" si="1"/>
        <v>2.0833333333333259E-2</v>
      </c>
      <c r="K11" s="10">
        <f t="shared" si="0"/>
        <v>2.0161290322580575E-2</v>
      </c>
      <c r="L11" s="4"/>
      <c r="M11" s="4"/>
    </row>
    <row r="12" spans="2:13" ht="21" customHeight="1">
      <c r="B12" s="4"/>
      <c r="C12" s="4"/>
      <c r="D12" s="5" t="s">
        <v>24</v>
      </c>
      <c r="E12" s="6">
        <v>1500</v>
      </c>
      <c r="F12" s="6">
        <v>1512</v>
      </c>
      <c r="G12" s="7">
        <v>55</v>
      </c>
      <c r="H12" s="8">
        <v>0.54513888888888884</v>
      </c>
      <c r="I12" s="8">
        <v>0.56597222222222221</v>
      </c>
      <c r="J12" s="9">
        <f t="shared" si="1"/>
        <v>2.083333333333337E-2</v>
      </c>
      <c r="K12" s="10">
        <f t="shared" si="0"/>
        <v>1.9841269841269875E-2</v>
      </c>
      <c r="L12" s="4"/>
      <c r="M12" s="4" t="s">
        <v>75</v>
      </c>
    </row>
    <row r="13" spans="2:13" ht="21" customHeight="1">
      <c r="B13" s="4"/>
      <c r="C13" s="4"/>
      <c r="D13" s="5" t="s">
        <v>25</v>
      </c>
      <c r="E13" s="6">
        <v>1500</v>
      </c>
      <c r="F13" s="6">
        <v>1464</v>
      </c>
      <c r="G13" s="7">
        <v>55</v>
      </c>
      <c r="H13" s="8">
        <v>0.56597222222222221</v>
      </c>
      <c r="I13" s="8">
        <v>0.58333333333333337</v>
      </c>
      <c r="J13" s="9">
        <f t="shared" ref="J13" si="2">I13-H13</f>
        <v>1.736111111111116E-2</v>
      </c>
      <c r="K13" s="10">
        <f t="shared" si="0"/>
        <v>1.7076502732240487E-2</v>
      </c>
      <c r="L13" s="4"/>
      <c r="M13" s="4"/>
    </row>
    <row r="14" spans="2:13" ht="21" customHeight="1">
      <c r="B14" s="4"/>
      <c r="C14" s="4"/>
      <c r="D14" s="24" t="s">
        <v>28</v>
      </c>
      <c r="E14" s="7"/>
      <c r="F14" s="7">
        <v>18</v>
      </c>
      <c r="G14" s="19"/>
      <c r="H14" s="8"/>
      <c r="I14" s="8"/>
      <c r="J14" s="9"/>
      <c r="K14" s="10"/>
      <c r="L14" s="4"/>
      <c r="M14" s="4"/>
    </row>
    <row r="15" spans="2:13" ht="23.25" customHeight="1">
      <c r="B15" s="17"/>
      <c r="C15" s="26"/>
      <c r="D15" s="24" t="s">
        <v>29</v>
      </c>
      <c r="E15" s="7"/>
      <c r="F15" s="7">
        <v>15</v>
      </c>
      <c r="G15" s="19"/>
      <c r="H15" s="8"/>
      <c r="I15" s="8"/>
      <c r="J15" s="9"/>
      <c r="K15" s="20"/>
      <c r="L15" s="21"/>
      <c r="M15" s="4"/>
    </row>
    <row r="16" spans="2:13" ht="23.25" customHeight="1">
      <c r="B16" s="4"/>
      <c r="C16" s="22"/>
      <c r="D16" s="24" t="s">
        <v>30</v>
      </c>
      <c r="E16" s="24" t="s">
        <v>30</v>
      </c>
      <c r="F16" s="24" t="s">
        <v>30</v>
      </c>
      <c r="G16" s="7">
        <v>9</v>
      </c>
      <c r="H16" s="8">
        <v>0.58333333333333337</v>
      </c>
      <c r="I16" s="8">
        <v>0.625</v>
      </c>
      <c r="J16" s="9">
        <f t="shared" ref="J16:J17" si="3">I16-H16</f>
        <v>4.166666666666663E-2</v>
      </c>
      <c r="K16" s="10" t="str">
        <f t="shared" ref="K16" si="4">IFERROR((J16*24*60)/F16,"")</f>
        <v/>
      </c>
      <c r="L16" s="21"/>
      <c r="M16" s="25" t="s">
        <v>51</v>
      </c>
    </row>
    <row r="17" spans="2:13" ht="23.25" customHeight="1">
      <c r="B17" s="17"/>
      <c r="C17" s="26" t="s">
        <v>85</v>
      </c>
      <c r="D17" s="24" t="s">
        <v>14</v>
      </c>
      <c r="E17" s="7">
        <v>1500</v>
      </c>
      <c r="F17" s="6">
        <v>1560</v>
      </c>
      <c r="G17" s="19" t="s">
        <v>33</v>
      </c>
      <c r="H17" s="8">
        <v>0.63541666666666663</v>
      </c>
      <c r="I17" s="8">
        <v>0.66319444444444442</v>
      </c>
      <c r="J17" s="9">
        <f t="shared" si="3"/>
        <v>2.777777777777779E-2</v>
      </c>
      <c r="K17" s="20">
        <f t="shared" ref="K17:K20" si="5">IFERROR((J17*24*60)/F17,"")</f>
        <v>2.5641025641025651E-2</v>
      </c>
      <c r="L17" s="21"/>
      <c r="M17" s="4"/>
    </row>
    <row r="18" spans="2:13" ht="23.25" customHeight="1">
      <c r="B18" s="22"/>
      <c r="C18" s="26"/>
      <c r="D18" s="24" t="s">
        <v>17</v>
      </c>
      <c r="E18" s="7">
        <v>1500</v>
      </c>
      <c r="F18" s="6">
        <v>1560</v>
      </c>
      <c r="G18" s="19" t="s">
        <v>33</v>
      </c>
      <c r="H18" s="8">
        <v>0.66319444444444442</v>
      </c>
      <c r="I18" s="8">
        <v>0.67708333333333337</v>
      </c>
      <c r="J18" s="9">
        <f t="shared" si="1"/>
        <v>1.3888888888888951E-2</v>
      </c>
      <c r="K18" s="20">
        <f t="shared" si="5"/>
        <v>1.2820512820512877E-2</v>
      </c>
      <c r="L18" s="21"/>
      <c r="M18" s="4"/>
    </row>
    <row r="19" spans="2:13" ht="23.25" customHeight="1">
      <c r="B19" s="22"/>
      <c r="C19" s="22"/>
      <c r="D19" s="5" t="s">
        <v>18</v>
      </c>
      <c r="E19" s="7">
        <v>1500</v>
      </c>
      <c r="F19" s="6">
        <v>1560</v>
      </c>
      <c r="G19" s="19" t="s">
        <v>89</v>
      </c>
      <c r="H19" s="8">
        <v>0.67708333333333337</v>
      </c>
      <c r="I19" s="8">
        <v>0.69444444444444442</v>
      </c>
      <c r="J19" s="9">
        <f t="shared" si="1"/>
        <v>1.7361111111111049E-2</v>
      </c>
      <c r="K19" s="20">
        <f t="shared" si="5"/>
        <v>1.6025641025640969E-2</v>
      </c>
      <c r="L19" s="21"/>
      <c r="M19" s="25"/>
    </row>
    <row r="20" spans="2:13" ht="24" customHeight="1">
      <c r="B20" s="4"/>
      <c r="C20" s="26"/>
      <c r="D20" s="5" t="s">
        <v>19</v>
      </c>
      <c r="E20" s="7">
        <v>1500</v>
      </c>
      <c r="F20" s="6">
        <v>1560</v>
      </c>
      <c r="G20" s="19" t="s">
        <v>89</v>
      </c>
      <c r="H20" s="8">
        <v>0.69444444444444442</v>
      </c>
      <c r="I20" s="8">
        <v>0.71875</v>
      </c>
      <c r="J20" s="9">
        <f t="shared" si="1"/>
        <v>2.430555555555558E-2</v>
      </c>
      <c r="K20" s="20">
        <f t="shared" si="5"/>
        <v>2.243589743589746E-2</v>
      </c>
      <c r="L20" s="21"/>
      <c r="M20" s="25"/>
    </row>
    <row r="21" spans="2:13" ht="24" customHeight="1">
      <c r="B21" s="21"/>
      <c r="C21" s="26"/>
      <c r="D21" s="24" t="s">
        <v>28</v>
      </c>
      <c r="E21" s="7"/>
      <c r="F21" s="7">
        <v>7</v>
      </c>
      <c r="G21" s="19"/>
      <c r="H21" s="8"/>
      <c r="I21" s="8"/>
      <c r="J21" s="9"/>
      <c r="K21" s="10"/>
      <c r="L21" s="21"/>
      <c r="M21" s="25"/>
    </row>
    <row r="22" spans="2:13" ht="24" customHeight="1">
      <c r="B22" s="21"/>
      <c r="C22" s="26"/>
      <c r="D22" s="24" t="s">
        <v>29</v>
      </c>
      <c r="E22" s="7"/>
      <c r="F22" s="7">
        <v>5</v>
      </c>
      <c r="G22" s="19"/>
      <c r="H22" s="8"/>
      <c r="I22" s="8"/>
      <c r="J22" s="9"/>
      <c r="K22" s="20"/>
      <c r="L22" s="21"/>
      <c r="M22" s="25"/>
    </row>
    <row r="23" spans="2:13" ht="24" customHeight="1">
      <c r="B23" s="21"/>
      <c r="C23" s="26"/>
      <c r="D23" s="24" t="s">
        <v>30</v>
      </c>
      <c r="E23" s="24" t="s">
        <v>30</v>
      </c>
      <c r="F23" s="24" t="s">
        <v>30</v>
      </c>
      <c r="G23" s="7">
        <v>55</v>
      </c>
      <c r="H23" s="8">
        <v>0.71875</v>
      </c>
      <c r="I23" s="8">
        <v>0.72916666666666663</v>
      </c>
      <c r="J23" s="9">
        <f t="shared" ref="J23" si="6">I23-H23</f>
        <v>1.041666666666663E-2</v>
      </c>
      <c r="K23" s="10" t="str">
        <f t="shared" ref="K23" si="7">IFERROR((J23*24*60)/F23,"")</f>
        <v/>
      </c>
      <c r="L23" s="21"/>
      <c r="M23" s="25" t="s">
        <v>51</v>
      </c>
    </row>
    <row r="24" spans="2:13" ht="24" customHeight="1">
      <c r="B24" s="21"/>
      <c r="C24" s="22" t="s">
        <v>90</v>
      </c>
      <c r="D24" s="24" t="s">
        <v>14</v>
      </c>
      <c r="E24" s="7">
        <v>1500</v>
      </c>
      <c r="F24" s="14">
        <v>1512</v>
      </c>
      <c r="G24" s="19" t="s">
        <v>91</v>
      </c>
      <c r="H24" s="8">
        <v>0.72916666666666663</v>
      </c>
      <c r="I24" s="8">
        <v>0.75694444444444442</v>
      </c>
      <c r="J24" s="9">
        <f t="shared" si="1"/>
        <v>2.777777777777779E-2</v>
      </c>
      <c r="K24" s="20">
        <f>IFERROR((J24*24*60)/F24,"")</f>
        <v>2.6455026455026464E-2</v>
      </c>
      <c r="L24" s="21"/>
      <c r="M24" s="25" t="s">
        <v>75</v>
      </c>
    </row>
    <row r="25" spans="2:13" ht="24" customHeight="1">
      <c r="B25" s="21"/>
      <c r="C25" s="22"/>
      <c r="D25" s="24" t="s">
        <v>17</v>
      </c>
      <c r="E25" s="7">
        <v>1500</v>
      </c>
      <c r="F25" s="14">
        <v>1488</v>
      </c>
      <c r="G25" s="19" t="s">
        <v>91</v>
      </c>
      <c r="H25" s="8">
        <v>0.75694444444444442</v>
      </c>
      <c r="I25" s="8">
        <v>0.77777777777777779</v>
      </c>
      <c r="J25" s="9">
        <f t="shared" si="1"/>
        <v>2.083333333333337E-2</v>
      </c>
      <c r="K25" s="20">
        <f t="shared" ref="K25:K29" si="8">IFERROR((J25*24*60)/F25,"")</f>
        <v>2.0161290322580679E-2</v>
      </c>
      <c r="L25" s="21"/>
      <c r="M25" s="25"/>
    </row>
    <row r="26" spans="2:13" ht="24" customHeight="1">
      <c r="B26" s="21"/>
      <c r="C26" s="22"/>
      <c r="D26" s="5" t="s">
        <v>18</v>
      </c>
      <c r="E26" s="7">
        <v>1500</v>
      </c>
      <c r="F26" s="14">
        <v>1512</v>
      </c>
      <c r="G26" s="19" t="s">
        <v>91</v>
      </c>
      <c r="H26" s="8">
        <v>0.77777777777777779</v>
      </c>
      <c r="I26" s="15">
        <v>0.80208333333333337</v>
      </c>
      <c r="J26" s="9">
        <f t="shared" si="1"/>
        <v>2.430555555555558E-2</v>
      </c>
      <c r="K26" s="20">
        <f t="shared" si="8"/>
        <v>2.3148148148148171E-2</v>
      </c>
      <c r="L26" s="21"/>
      <c r="M26" s="25"/>
    </row>
    <row r="27" spans="2:13" ht="24" customHeight="1">
      <c r="B27" s="21"/>
      <c r="C27" s="22"/>
      <c r="D27" s="5" t="s">
        <v>19</v>
      </c>
      <c r="E27" s="7">
        <v>1500</v>
      </c>
      <c r="F27" s="14">
        <v>1440</v>
      </c>
      <c r="G27" s="19" t="s">
        <v>91</v>
      </c>
      <c r="H27" s="15">
        <v>0.80208333333333337</v>
      </c>
      <c r="I27" s="15">
        <v>0.82638888888888884</v>
      </c>
      <c r="J27" s="9">
        <f t="shared" si="1"/>
        <v>2.4305555555555469E-2</v>
      </c>
      <c r="K27" s="20">
        <f>IFERROR((J27*24*60)/F27,"")</f>
        <v>2.4305555555555466E-2</v>
      </c>
      <c r="L27" s="21"/>
      <c r="M27" s="25"/>
    </row>
    <row r="28" spans="2:13" ht="24" customHeight="1">
      <c r="B28" s="21"/>
      <c r="C28" s="22"/>
      <c r="D28" s="24" t="s">
        <v>20</v>
      </c>
      <c r="E28" s="7">
        <v>1500</v>
      </c>
      <c r="F28" s="14">
        <v>1488</v>
      </c>
      <c r="G28" s="19" t="s">
        <v>91</v>
      </c>
      <c r="H28" s="15">
        <v>0.82638888888888884</v>
      </c>
      <c r="I28" s="15">
        <v>0.84375</v>
      </c>
      <c r="J28" s="9">
        <f t="shared" si="1"/>
        <v>1.736111111111116E-2</v>
      </c>
      <c r="K28" s="20">
        <f t="shared" si="8"/>
        <v>1.6801075268817252E-2</v>
      </c>
      <c r="L28" s="21"/>
      <c r="M28" s="25"/>
    </row>
    <row r="29" spans="2:13" ht="24" customHeight="1">
      <c r="B29" s="21"/>
      <c r="C29" s="22"/>
      <c r="D29" s="24" t="s">
        <v>21</v>
      </c>
      <c r="E29" s="7">
        <v>1500</v>
      </c>
      <c r="F29" s="14">
        <v>1488</v>
      </c>
      <c r="G29" s="19" t="s">
        <v>91</v>
      </c>
      <c r="H29" s="15">
        <v>0.84375</v>
      </c>
      <c r="I29" s="15">
        <v>0.86111111111111116</v>
      </c>
      <c r="J29" s="9">
        <f t="shared" si="1"/>
        <v>1.736111111111116E-2</v>
      </c>
      <c r="K29" s="20">
        <f t="shared" si="8"/>
        <v>1.6801075268817252E-2</v>
      </c>
      <c r="L29" s="21"/>
      <c r="M29" s="25"/>
    </row>
    <row r="30" spans="2:13" ht="24" customHeight="1">
      <c r="B30" s="21"/>
      <c r="C30" s="22"/>
      <c r="D30" s="24" t="s">
        <v>28</v>
      </c>
      <c r="E30" s="7"/>
      <c r="F30" s="7">
        <v>5</v>
      </c>
      <c r="G30" s="19"/>
      <c r="H30" s="15"/>
      <c r="I30" s="15"/>
      <c r="J30" s="9"/>
      <c r="K30" s="20"/>
      <c r="L30" s="21"/>
      <c r="M30" s="25"/>
    </row>
    <row r="31" spans="2:13" ht="24" customHeight="1">
      <c r="B31" s="21"/>
      <c r="C31" s="22"/>
      <c r="D31" s="24" t="s">
        <v>29</v>
      </c>
      <c r="E31" s="7"/>
      <c r="F31" s="7">
        <v>10</v>
      </c>
      <c r="G31" s="19"/>
      <c r="H31" s="15"/>
      <c r="I31" s="15"/>
      <c r="J31" s="9"/>
      <c r="K31" s="20"/>
      <c r="L31" s="21"/>
      <c r="M31" s="25"/>
    </row>
    <row r="32" spans="2:13" ht="24" customHeight="1">
      <c r="B32" s="4"/>
      <c r="C32" s="28" t="s">
        <v>36</v>
      </c>
      <c r="D32" s="29"/>
      <c r="E32" s="30">
        <f>SUM(E4:E31)</f>
        <v>30000</v>
      </c>
      <c r="F32" s="30">
        <f>SUM(F4:F31)</f>
        <v>30204</v>
      </c>
      <c r="I32" s="31"/>
    </row>
    <row r="33" spans="2:12" ht="24" customHeight="1">
      <c r="C33" s="32"/>
      <c r="I33" s="31"/>
    </row>
    <row r="34" spans="2:12" ht="24" customHeight="1">
      <c r="B34" s="32"/>
      <c r="I34" s="31"/>
    </row>
    <row r="35" spans="2:12" ht="20.25" customHeight="1">
      <c r="I35" s="31"/>
    </row>
    <row r="36" spans="2:12" ht="20.25" customHeight="1">
      <c r="I36" s="31"/>
    </row>
    <row r="37" spans="2:12" ht="20.25" customHeight="1"/>
    <row r="38" spans="2:12" ht="20.25" customHeight="1"/>
    <row r="39" spans="2:12" ht="20.25" customHeight="1">
      <c r="L39" s="3" t="s">
        <v>37</v>
      </c>
    </row>
    <row r="40" spans="2:12" ht="20.25" customHeight="1"/>
    <row r="41" spans="2:12" ht="20.25" customHeight="1"/>
    <row r="42" spans="2:12" ht="21" customHeight="1"/>
    <row r="43" spans="2:12" ht="21" customHeight="1"/>
    <row r="44" spans="2:12" ht="18" customHeight="1"/>
    <row r="45" spans="2:12" ht="18" customHeight="1">
      <c r="I45" s="33"/>
    </row>
    <row r="46" spans="2:12" ht="18" customHeight="1"/>
    <row r="47" spans="2:12" ht="18" customHeight="1"/>
    <row r="48" spans="2:12" ht="18" customHeight="1"/>
    <row r="49" spans="2:13" ht="18" customHeight="1"/>
    <row r="50" spans="2:13" ht="18" customHeight="1"/>
    <row r="51" spans="2:13" ht="18" customHeight="1"/>
    <row r="52" spans="2:13" ht="18" customHeight="1"/>
    <row r="58" spans="2:13" s="34" customFormat="1" ht="27.6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7B56-5688-46E2-B308-0BCA3304BF3B}">
  <dimension ref="B2:M67"/>
  <sheetViews>
    <sheetView topLeftCell="A23" zoomScale="80" zoomScaleNormal="80" workbookViewId="0">
      <selection activeCell="F15" sqref="F15:F22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46298</v>
      </c>
      <c r="C4" s="18" t="s">
        <v>92</v>
      </c>
      <c r="D4" s="5" t="s">
        <v>18</v>
      </c>
      <c r="E4" s="7">
        <v>1500</v>
      </c>
      <c r="F4" s="6">
        <v>1488</v>
      </c>
      <c r="G4" s="7">
        <v>57</v>
      </c>
      <c r="H4" s="8">
        <v>0.38541666666666669</v>
      </c>
      <c r="I4" s="8">
        <v>0.40277777777777779</v>
      </c>
      <c r="J4" s="9">
        <f>I4-H4</f>
        <v>1.7361111111111105E-2</v>
      </c>
      <c r="K4" s="10">
        <f>IFERROR((J4*24*60)/F4,"")</f>
        <v>1.68010752688172E-2</v>
      </c>
      <c r="L4" s="11"/>
      <c r="M4" s="4" t="s">
        <v>79</v>
      </c>
    </row>
    <row r="5" spans="2:13" ht="21" customHeight="1">
      <c r="B5" s="22" t="s">
        <v>93</v>
      </c>
      <c r="C5" s="4"/>
      <c r="D5" s="5" t="s">
        <v>19</v>
      </c>
      <c r="E5" s="7">
        <v>1500</v>
      </c>
      <c r="F5" s="6">
        <v>1440</v>
      </c>
      <c r="G5" s="7">
        <v>57</v>
      </c>
      <c r="H5" s="8">
        <v>0.40277777777777779</v>
      </c>
      <c r="I5" s="8">
        <v>0.41666666666666669</v>
      </c>
      <c r="J5" s="9">
        <f>I5-H5</f>
        <v>1.3888888888888895E-2</v>
      </c>
      <c r="K5" s="10">
        <f t="shared" ref="K5:K11" si="0">IFERROR((J5*24*60)/F5,"")</f>
        <v>1.3888888888888893E-2</v>
      </c>
      <c r="L5" s="12"/>
      <c r="M5" s="4"/>
    </row>
    <row r="6" spans="2:13" ht="21" customHeight="1">
      <c r="B6" s="4"/>
      <c r="C6" s="4"/>
      <c r="D6" s="5" t="s">
        <v>20</v>
      </c>
      <c r="E6" s="7">
        <v>1500</v>
      </c>
      <c r="F6" s="6">
        <v>1488</v>
      </c>
      <c r="G6" s="7">
        <v>57</v>
      </c>
      <c r="H6" s="8">
        <v>0.41666666666666669</v>
      </c>
      <c r="I6" s="8">
        <v>0.43402777777777779</v>
      </c>
      <c r="J6" s="9">
        <f>I6-H6</f>
        <v>1.7361111111111105E-2</v>
      </c>
      <c r="K6" s="10">
        <f t="shared" si="0"/>
        <v>1.68010752688172E-2</v>
      </c>
      <c r="L6" s="4"/>
      <c r="M6" s="4"/>
    </row>
    <row r="7" spans="2:13" ht="21" customHeight="1">
      <c r="B7" s="4"/>
      <c r="C7" s="4"/>
      <c r="D7" s="5" t="s">
        <v>21</v>
      </c>
      <c r="E7" s="7">
        <v>1500</v>
      </c>
      <c r="F7" s="6">
        <v>1512</v>
      </c>
      <c r="G7" s="7">
        <v>57</v>
      </c>
      <c r="H7" s="8">
        <v>0.43402777777777779</v>
      </c>
      <c r="I7" s="8">
        <v>0.44791666666666669</v>
      </c>
      <c r="J7" s="9">
        <f>I7-H7</f>
        <v>1.3888888888888895E-2</v>
      </c>
      <c r="K7" s="10">
        <f t="shared" si="0"/>
        <v>1.3227513227513232E-2</v>
      </c>
      <c r="L7" s="4"/>
      <c r="M7" s="4"/>
    </row>
    <row r="8" spans="2:13" ht="21" customHeight="1">
      <c r="B8" s="4"/>
      <c r="C8" s="4"/>
      <c r="D8" s="5" t="s">
        <v>22</v>
      </c>
      <c r="E8" s="7">
        <v>1500</v>
      </c>
      <c r="F8" s="6">
        <v>1512</v>
      </c>
      <c r="G8" s="7">
        <v>57</v>
      </c>
      <c r="H8" s="8">
        <v>0.44791666666666669</v>
      </c>
      <c r="I8" s="8">
        <v>0.46180555555555558</v>
      </c>
      <c r="J8" s="9">
        <f t="shared" ref="J8:J11" si="1">I8-H8</f>
        <v>1.3888888888888895E-2</v>
      </c>
      <c r="K8" s="10">
        <f t="shared" si="0"/>
        <v>1.3227513227513232E-2</v>
      </c>
      <c r="L8" s="4"/>
      <c r="M8" s="4"/>
    </row>
    <row r="9" spans="2:13" ht="21" customHeight="1">
      <c r="B9" s="4"/>
      <c r="C9" s="4"/>
      <c r="D9" s="5" t="s">
        <v>23</v>
      </c>
      <c r="E9" s="7">
        <v>1500</v>
      </c>
      <c r="F9" s="6">
        <v>1488</v>
      </c>
      <c r="G9" s="7">
        <v>57</v>
      </c>
      <c r="H9" s="8">
        <v>0.46180555555555558</v>
      </c>
      <c r="I9" s="8">
        <v>0.4826388888888889</v>
      </c>
      <c r="J9" s="9">
        <f t="shared" si="1"/>
        <v>2.0833333333333315E-2</v>
      </c>
      <c r="K9" s="10">
        <f t="shared" si="0"/>
        <v>2.0161290322580627E-2</v>
      </c>
      <c r="L9" s="4"/>
      <c r="M9" s="4"/>
    </row>
    <row r="10" spans="2:13" ht="21" customHeight="1">
      <c r="B10" s="4"/>
      <c r="C10" s="4"/>
      <c r="D10" s="5" t="s">
        <v>24</v>
      </c>
      <c r="E10" s="7">
        <v>1500</v>
      </c>
      <c r="F10" s="6">
        <v>1512</v>
      </c>
      <c r="G10" s="7">
        <v>57</v>
      </c>
      <c r="H10" s="8">
        <v>0.4826388888888889</v>
      </c>
      <c r="I10" s="8">
        <v>0.5</v>
      </c>
      <c r="J10" s="9">
        <f t="shared" si="1"/>
        <v>1.7361111111111105E-2</v>
      </c>
      <c r="K10" s="10">
        <f t="shared" si="0"/>
        <v>1.653439153439153E-2</v>
      </c>
      <c r="L10" s="4"/>
      <c r="M10" s="4"/>
    </row>
    <row r="11" spans="2:13" ht="21" customHeight="1">
      <c r="B11" s="4"/>
      <c r="C11" s="4"/>
      <c r="D11" s="5" t="s">
        <v>25</v>
      </c>
      <c r="E11" s="7">
        <v>1500</v>
      </c>
      <c r="F11" s="6">
        <v>1632</v>
      </c>
      <c r="G11" s="7">
        <v>57</v>
      </c>
      <c r="H11" s="8">
        <v>0.5</v>
      </c>
      <c r="I11" s="8">
        <v>0.52083333333333337</v>
      </c>
      <c r="J11" s="9">
        <f t="shared" si="1"/>
        <v>2.083333333333337E-2</v>
      </c>
      <c r="K11" s="10">
        <f t="shared" si="0"/>
        <v>1.8382352941176502E-2</v>
      </c>
      <c r="L11" s="4"/>
      <c r="M11" s="4"/>
    </row>
    <row r="12" spans="2:13" ht="21" customHeight="1">
      <c r="B12" s="4"/>
      <c r="C12" s="4"/>
      <c r="D12" s="24" t="s">
        <v>28</v>
      </c>
      <c r="E12" s="7"/>
      <c r="F12" s="7">
        <v>10</v>
      </c>
      <c r="G12" s="19"/>
      <c r="H12" s="8"/>
      <c r="I12" s="8"/>
      <c r="J12" s="9"/>
      <c r="K12" s="10"/>
      <c r="L12" s="4"/>
      <c r="M12" s="4"/>
    </row>
    <row r="13" spans="2:13" ht="23.25" customHeight="1">
      <c r="B13" s="17"/>
      <c r="C13" s="26"/>
      <c r="D13" s="24" t="s">
        <v>29</v>
      </c>
      <c r="E13" s="7"/>
      <c r="F13" s="7">
        <v>10</v>
      </c>
      <c r="G13" s="19"/>
      <c r="H13" s="8"/>
      <c r="I13" s="8"/>
      <c r="J13" s="9"/>
      <c r="K13" s="20"/>
      <c r="L13" s="21"/>
      <c r="M13" s="4"/>
    </row>
    <row r="14" spans="2:13" ht="23.25" customHeight="1">
      <c r="B14" s="17"/>
      <c r="C14" s="26"/>
      <c r="D14" s="24" t="s">
        <v>30</v>
      </c>
      <c r="E14" s="24" t="s">
        <v>30</v>
      </c>
      <c r="F14" s="24" t="s">
        <v>30</v>
      </c>
      <c r="G14" s="19" t="s">
        <v>24</v>
      </c>
      <c r="H14" s="8">
        <v>0.52083333333333337</v>
      </c>
      <c r="I14" s="8">
        <v>0.5625</v>
      </c>
      <c r="J14" s="9"/>
      <c r="K14" s="20"/>
      <c r="L14" s="21"/>
      <c r="M14" s="25" t="s">
        <v>51</v>
      </c>
    </row>
    <row r="15" spans="2:13" ht="23.25" customHeight="1">
      <c r="B15" s="17"/>
      <c r="C15" s="26" t="s">
        <v>94</v>
      </c>
      <c r="D15" s="24" t="s">
        <v>14</v>
      </c>
      <c r="E15" s="7">
        <v>1500</v>
      </c>
      <c r="F15" s="7">
        <v>1512</v>
      </c>
      <c r="G15" s="19" t="s">
        <v>95</v>
      </c>
      <c r="H15" s="8">
        <v>0.57638888888888884</v>
      </c>
      <c r="I15" s="8">
        <v>0.59722222222222221</v>
      </c>
      <c r="J15" s="9">
        <f t="shared" ref="J15" si="2">I15-H15</f>
        <v>2.083333333333337E-2</v>
      </c>
      <c r="K15" s="10">
        <f t="shared" ref="K15" si="3">IFERROR((J15*24*60)/F15,"")</f>
        <v>1.9841269841269875E-2</v>
      </c>
      <c r="L15" s="21"/>
      <c r="M15" s="4"/>
    </row>
    <row r="16" spans="2:13" ht="23.25" customHeight="1">
      <c r="B16" s="17"/>
      <c r="C16" s="26"/>
      <c r="D16" s="24" t="s">
        <v>17</v>
      </c>
      <c r="E16" s="7">
        <v>1500</v>
      </c>
      <c r="F16" s="7">
        <v>1488</v>
      </c>
      <c r="G16" s="19" t="s">
        <v>95</v>
      </c>
      <c r="H16" s="8">
        <v>0.59722222222222221</v>
      </c>
      <c r="I16" s="8">
        <v>0.61111111111111116</v>
      </c>
      <c r="J16" s="9">
        <f t="shared" ref="J16:J20" si="4">I16-H16</f>
        <v>1.3888888888888951E-2</v>
      </c>
      <c r="K16" s="10">
        <f t="shared" ref="K16:K20" si="5">IFERROR((J16*24*60)/F16,"")</f>
        <v>1.3440860215053823E-2</v>
      </c>
      <c r="L16" s="21"/>
      <c r="M16" s="4"/>
    </row>
    <row r="17" spans="2:13" ht="23.25" customHeight="1">
      <c r="B17" s="17"/>
      <c r="C17" s="26"/>
      <c r="D17" s="24" t="s">
        <v>18</v>
      </c>
      <c r="E17" s="7">
        <v>1500</v>
      </c>
      <c r="F17" s="7">
        <v>1488</v>
      </c>
      <c r="G17" s="19" t="s">
        <v>96</v>
      </c>
      <c r="H17" s="8">
        <v>0.19444444444444445</v>
      </c>
      <c r="I17" s="8">
        <v>0.62847222222222221</v>
      </c>
      <c r="J17" s="9">
        <f t="shared" si="4"/>
        <v>0.43402777777777779</v>
      </c>
      <c r="K17" s="10">
        <f t="shared" si="5"/>
        <v>0.42002688172043018</v>
      </c>
      <c r="L17" s="21"/>
      <c r="M17" s="4"/>
    </row>
    <row r="18" spans="2:13" ht="23.25" customHeight="1">
      <c r="B18" s="17"/>
      <c r="C18" s="26"/>
      <c r="D18" s="24" t="s">
        <v>19</v>
      </c>
      <c r="E18" s="7">
        <v>1500</v>
      </c>
      <c r="F18" s="7">
        <v>1512</v>
      </c>
      <c r="G18" s="19" t="s">
        <v>96</v>
      </c>
      <c r="H18" s="8">
        <v>0.62847222222222221</v>
      </c>
      <c r="I18" s="8">
        <v>0.64583333333333337</v>
      </c>
      <c r="J18" s="9">
        <f t="shared" si="4"/>
        <v>1.736111111111116E-2</v>
      </c>
      <c r="K18" s="10">
        <f t="shared" si="5"/>
        <v>1.6534391534391582E-2</v>
      </c>
      <c r="L18" s="21"/>
      <c r="M18" s="4"/>
    </row>
    <row r="19" spans="2:13" ht="23.25" customHeight="1">
      <c r="B19" s="17"/>
      <c r="C19" s="26"/>
      <c r="D19" s="24" t="s">
        <v>20</v>
      </c>
      <c r="E19" s="7">
        <v>1500</v>
      </c>
      <c r="F19" s="7">
        <v>1512</v>
      </c>
      <c r="G19" s="19" t="s">
        <v>96</v>
      </c>
      <c r="H19" s="8">
        <v>0.64583333333333337</v>
      </c>
      <c r="I19" s="8">
        <v>0.66319444444444442</v>
      </c>
      <c r="J19" s="9">
        <f t="shared" si="4"/>
        <v>1.7361111111111049E-2</v>
      </c>
      <c r="K19" s="10">
        <f t="shared" si="5"/>
        <v>1.6534391534391474E-2</v>
      </c>
      <c r="L19" s="21"/>
      <c r="M19" s="4"/>
    </row>
    <row r="20" spans="2:13" ht="23.25" customHeight="1">
      <c r="B20" s="17"/>
      <c r="C20" s="26"/>
      <c r="D20" s="24" t="s">
        <v>21</v>
      </c>
      <c r="E20" s="7">
        <v>1500</v>
      </c>
      <c r="F20" s="7">
        <v>1632</v>
      </c>
      <c r="G20" s="19" t="s">
        <v>96</v>
      </c>
      <c r="H20" s="8">
        <v>0.66319444444444442</v>
      </c>
      <c r="I20" s="8">
        <v>0.68402777777777779</v>
      </c>
      <c r="J20" s="9">
        <f t="shared" si="4"/>
        <v>2.083333333333337E-2</v>
      </c>
      <c r="K20" s="10">
        <f t="shared" si="5"/>
        <v>1.8382352941176502E-2</v>
      </c>
      <c r="L20" s="21"/>
      <c r="M20" s="4"/>
    </row>
    <row r="21" spans="2:13" ht="23.25" customHeight="1">
      <c r="B21" s="17"/>
      <c r="C21" s="26"/>
      <c r="D21" s="24" t="s">
        <v>28</v>
      </c>
      <c r="E21" s="7"/>
      <c r="F21" s="7">
        <v>21</v>
      </c>
      <c r="G21" s="19"/>
      <c r="H21" s="8"/>
      <c r="I21" s="8"/>
      <c r="J21" s="9"/>
      <c r="K21" s="20"/>
      <c r="L21" s="21"/>
      <c r="M21" s="4"/>
    </row>
    <row r="22" spans="2:13" ht="23.25" customHeight="1">
      <c r="B22" s="17"/>
      <c r="C22" s="26"/>
      <c r="D22" s="24" t="s">
        <v>29</v>
      </c>
      <c r="E22" s="7"/>
      <c r="F22" s="7">
        <v>8</v>
      </c>
      <c r="G22" s="19"/>
      <c r="H22" s="8"/>
      <c r="I22" s="8"/>
      <c r="J22" s="9"/>
      <c r="K22" s="20"/>
      <c r="L22" s="21"/>
      <c r="M22" s="4"/>
    </row>
    <row r="23" spans="2:13" ht="23.25" customHeight="1">
      <c r="B23" s="17"/>
      <c r="C23" s="26"/>
      <c r="D23" s="24" t="s">
        <v>30</v>
      </c>
      <c r="E23" s="24" t="s">
        <v>30</v>
      </c>
      <c r="F23" s="24" t="s">
        <v>30</v>
      </c>
      <c r="G23" s="7">
        <v>57</v>
      </c>
      <c r="H23" s="8">
        <v>0.68402777777777779</v>
      </c>
      <c r="I23" s="8">
        <v>0.69444444444444442</v>
      </c>
      <c r="J23" s="9">
        <f t="shared" ref="J23:J24" si="6">I23-H23</f>
        <v>1.041666666666663E-2</v>
      </c>
      <c r="K23" s="10" t="str">
        <f t="shared" ref="K23:K24" si="7">IFERROR((J23*24*60)/F23,"")</f>
        <v/>
      </c>
      <c r="L23" s="21"/>
      <c r="M23" s="25" t="s">
        <v>51</v>
      </c>
    </row>
    <row r="24" spans="2:13" ht="23.25" customHeight="1">
      <c r="B24" s="17"/>
      <c r="C24" s="26" t="s">
        <v>97</v>
      </c>
      <c r="D24" s="24" t="s">
        <v>14</v>
      </c>
      <c r="E24" s="7">
        <v>1500</v>
      </c>
      <c r="F24" s="7">
        <v>1512</v>
      </c>
      <c r="G24" s="7">
        <v>57</v>
      </c>
      <c r="H24" s="8">
        <v>0.69444444444444442</v>
      </c>
      <c r="I24" s="8">
        <v>0.71180555555555558</v>
      </c>
      <c r="J24" s="9">
        <f t="shared" si="6"/>
        <v>1.736111111111116E-2</v>
      </c>
      <c r="K24" s="10">
        <f t="shared" si="7"/>
        <v>1.6534391534391582E-2</v>
      </c>
      <c r="L24" s="21"/>
      <c r="M24" s="4"/>
    </row>
    <row r="25" spans="2:13" ht="23.25" customHeight="1">
      <c r="B25" s="17"/>
      <c r="C25" s="26"/>
      <c r="D25" s="24" t="s">
        <v>17</v>
      </c>
      <c r="E25" s="7">
        <v>1500</v>
      </c>
      <c r="F25" s="7">
        <v>1488</v>
      </c>
      <c r="G25" s="7">
        <v>57</v>
      </c>
      <c r="H25" s="8">
        <v>0.71180555555555558</v>
      </c>
      <c r="I25" s="8">
        <v>0.72916666666666663</v>
      </c>
      <c r="J25" s="9">
        <f t="shared" ref="J25:J33" si="8">I25-H25</f>
        <v>1.7361111111111049E-2</v>
      </c>
      <c r="K25" s="10">
        <f t="shared" ref="K25:K33" si="9">IFERROR((J25*24*60)/F25,"")</f>
        <v>1.6801075268817144E-2</v>
      </c>
      <c r="L25" s="21"/>
      <c r="M25" s="4"/>
    </row>
    <row r="26" spans="2:13" ht="23.25" customHeight="1">
      <c r="B26" s="17"/>
      <c r="C26" s="26"/>
      <c r="D26" s="24" t="s">
        <v>18</v>
      </c>
      <c r="E26" s="7">
        <v>1500</v>
      </c>
      <c r="F26" s="7">
        <v>1512</v>
      </c>
      <c r="G26" s="7">
        <v>57</v>
      </c>
      <c r="H26" s="8">
        <v>0.72916666666666663</v>
      </c>
      <c r="I26" s="8">
        <v>0.74305555555555558</v>
      </c>
      <c r="J26" s="9">
        <f t="shared" si="8"/>
        <v>1.3888888888888951E-2</v>
      </c>
      <c r="K26" s="10">
        <f t="shared" si="9"/>
        <v>1.3227513227513286E-2</v>
      </c>
      <c r="L26" s="21"/>
      <c r="M26" s="4"/>
    </row>
    <row r="27" spans="2:13" ht="23.25" customHeight="1">
      <c r="B27" s="17"/>
      <c r="C27" s="26"/>
      <c r="D27" s="24" t="s">
        <v>19</v>
      </c>
      <c r="E27" s="7">
        <v>1500</v>
      </c>
      <c r="F27" s="7">
        <v>1512</v>
      </c>
      <c r="G27" s="7">
        <v>57</v>
      </c>
      <c r="H27" s="8">
        <v>0.74305555555555558</v>
      </c>
      <c r="I27" s="8">
        <v>0.76041666666666663</v>
      </c>
      <c r="J27" s="9">
        <f t="shared" si="8"/>
        <v>1.7361111111111049E-2</v>
      </c>
      <c r="K27" s="10">
        <f t="shared" si="9"/>
        <v>1.6534391534391474E-2</v>
      </c>
      <c r="L27" s="21"/>
      <c r="M27" s="4"/>
    </row>
    <row r="28" spans="2:13" ht="23.25" customHeight="1">
      <c r="B28" s="17"/>
      <c r="C28" s="26"/>
      <c r="D28" s="24" t="s">
        <v>20</v>
      </c>
      <c r="E28" s="7">
        <v>1500</v>
      </c>
      <c r="F28" s="7">
        <v>1536</v>
      </c>
      <c r="G28" s="7">
        <v>57</v>
      </c>
      <c r="H28" s="8">
        <v>0.76041666666666663</v>
      </c>
      <c r="I28" s="8">
        <v>0.77430555555555558</v>
      </c>
      <c r="J28" s="9">
        <f t="shared" si="8"/>
        <v>1.3888888888888951E-2</v>
      </c>
      <c r="K28" s="10">
        <f t="shared" si="9"/>
        <v>1.3020833333333391E-2</v>
      </c>
      <c r="L28" s="21"/>
      <c r="M28" s="4"/>
    </row>
    <row r="29" spans="2:13" ht="23.25" customHeight="1">
      <c r="B29" s="17"/>
      <c r="C29" s="26"/>
      <c r="D29" s="24" t="s">
        <v>21</v>
      </c>
      <c r="E29" s="7">
        <v>1500</v>
      </c>
      <c r="F29" s="7">
        <v>1536</v>
      </c>
      <c r="G29" s="7">
        <v>57</v>
      </c>
      <c r="H29" s="8">
        <v>0.77430555555555558</v>
      </c>
      <c r="I29" s="8">
        <v>0.79166666666666663</v>
      </c>
      <c r="J29" s="9">
        <f t="shared" si="8"/>
        <v>1.7361111111111049E-2</v>
      </c>
      <c r="K29" s="10">
        <f t="shared" si="9"/>
        <v>1.6276041666666609E-2</v>
      </c>
      <c r="L29" s="21"/>
      <c r="M29" s="4"/>
    </row>
    <row r="30" spans="2:13" ht="23.25" customHeight="1">
      <c r="B30" s="17"/>
      <c r="C30" s="26"/>
      <c r="D30" s="24" t="s">
        <v>22</v>
      </c>
      <c r="E30" s="7">
        <v>1500</v>
      </c>
      <c r="F30" s="7">
        <v>1584</v>
      </c>
      <c r="G30" s="7">
        <v>57</v>
      </c>
      <c r="H30" s="8">
        <v>0.79166666666666663</v>
      </c>
      <c r="I30" s="8">
        <v>0.80555555555555558</v>
      </c>
      <c r="J30" s="9">
        <f t="shared" si="8"/>
        <v>1.3888888888888951E-2</v>
      </c>
      <c r="K30" s="10">
        <f t="shared" si="9"/>
        <v>1.2626262626262682E-2</v>
      </c>
      <c r="L30" s="21"/>
      <c r="M30" s="4"/>
    </row>
    <row r="31" spans="2:13" ht="23.25" customHeight="1">
      <c r="B31" s="17"/>
      <c r="C31" s="26"/>
      <c r="D31" s="24" t="s">
        <v>23</v>
      </c>
      <c r="E31" s="7">
        <v>1500</v>
      </c>
      <c r="F31" s="7">
        <v>1584</v>
      </c>
      <c r="G31" s="7">
        <v>57</v>
      </c>
      <c r="H31" s="8">
        <v>0.80555555555555558</v>
      </c>
      <c r="I31" s="8">
        <v>0.82291666666666663</v>
      </c>
      <c r="J31" s="9">
        <f t="shared" si="8"/>
        <v>1.7361111111111049E-2</v>
      </c>
      <c r="K31" s="10">
        <f t="shared" si="9"/>
        <v>1.5782828282828228E-2</v>
      </c>
      <c r="L31" s="21"/>
      <c r="M31" s="4"/>
    </row>
    <row r="32" spans="2:13" ht="23.25" customHeight="1">
      <c r="B32" s="17"/>
      <c r="C32" s="26"/>
      <c r="D32" s="24" t="s">
        <v>24</v>
      </c>
      <c r="E32" s="7">
        <v>1500</v>
      </c>
      <c r="F32" s="7">
        <v>1632</v>
      </c>
      <c r="G32" s="7">
        <v>57</v>
      </c>
      <c r="H32" s="8">
        <v>0.82291666666666663</v>
      </c>
      <c r="I32" s="8">
        <v>0.83680555555555558</v>
      </c>
      <c r="J32" s="9">
        <f t="shared" si="8"/>
        <v>1.3888888888888951E-2</v>
      </c>
      <c r="K32" s="10">
        <f t="shared" si="9"/>
        <v>1.2254901960784367E-2</v>
      </c>
      <c r="L32" s="21"/>
      <c r="M32" s="4"/>
    </row>
    <row r="33" spans="2:13" ht="23.25" customHeight="1">
      <c r="B33" s="17"/>
      <c r="C33" s="26"/>
      <c r="D33" s="24" t="s">
        <v>25</v>
      </c>
      <c r="E33" s="7">
        <v>1500</v>
      </c>
      <c r="F33" s="7">
        <v>1920</v>
      </c>
      <c r="G33" s="7">
        <v>57</v>
      </c>
      <c r="H33" s="8">
        <v>0.83680555555555558</v>
      </c>
      <c r="I33" s="8">
        <v>0.86111111111111116</v>
      </c>
      <c r="J33" s="9">
        <f t="shared" si="8"/>
        <v>2.430555555555558E-2</v>
      </c>
      <c r="K33" s="10">
        <f t="shared" si="9"/>
        <v>1.8229166666666685E-2</v>
      </c>
      <c r="L33" s="21"/>
      <c r="M33" s="4"/>
    </row>
    <row r="34" spans="2:13" ht="23.25" customHeight="1">
      <c r="B34" s="17"/>
      <c r="C34" s="26"/>
      <c r="D34" s="24" t="s">
        <v>28</v>
      </c>
      <c r="E34" s="7"/>
      <c r="F34" s="7">
        <v>5</v>
      </c>
      <c r="G34" s="19"/>
      <c r="H34" s="8"/>
      <c r="I34" s="8"/>
      <c r="J34" s="9"/>
      <c r="K34" s="20"/>
      <c r="L34" s="21"/>
      <c r="M34" s="4"/>
    </row>
    <row r="35" spans="2:13" ht="23.25" customHeight="1">
      <c r="B35" s="17"/>
      <c r="C35" s="26"/>
      <c r="D35" s="24" t="s">
        <v>29</v>
      </c>
      <c r="E35" s="7"/>
      <c r="F35" s="7">
        <v>15</v>
      </c>
      <c r="G35" s="19"/>
      <c r="H35" s="8"/>
      <c r="I35" s="8"/>
      <c r="J35" s="9"/>
      <c r="K35" s="20"/>
      <c r="L35" s="21"/>
      <c r="M35" s="4"/>
    </row>
    <row r="36" spans="2:13" ht="23.25" customHeight="1">
      <c r="B36" s="17"/>
      <c r="C36" s="26"/>
      <c r="D36" s="24" t="s">
        <v>98</v>
      </c>
      <c r="E36" s="7"/>
      <c r="F36" s="7">
        <v>2</v>
      </c>
      <c r="G36" s="19"/>
      <c r="H36" s="8"/>
      <c r="I36" s="8"/>
      <c r="J36" s="9"/>
      <c r="K36" s="20"/>
      <c r="L36" s="21"/>
      <c r="M36" s="4"/>
    </row>
    <row r="37" spans="2:13" ht="23.25" customHeight="1">
      <c r="B37" s="4"/>
      <c r="C37" s="22"/>
      <c r="D37" s="24" t="s">
        <v>30</v>
      </c>
      <c r="E37" s="24" t="s">
        <v>30</v>
      </c>
      <c r="F37" s="24" t="s">
        <v>30</v>
      </c>
      <c r="G37" s="7">
        <v>57</v>
      </c>
      <c r="H37" s="8">
        <v>0.86111111111111116</v>
      </c>
      <c r="I37" s="8">
        <v>0.87152777777777779</v>
      </c>
      <c r="J37" s="9">
        <f t="shared" ref="J37:J38" si="10">I37-H37</f>
        <v>1.041666666666663E-2</v>
      </c>
      <c r="K37" s="10" t="str">
        <f t="shared" ref="K37:K38" si="11">IFERROR((J37*24*60)/F37,"")</f>
        <v/>
      </c>
      <c r="L37" s="21"/>
      <c r="M37" s="25" t="s">
        <v>51</v>
      </c>
    </row>
    <row r="38" spans="2:13" ht="23.25" customHeight="1">
      <c r="B38" s="17"/>
      <c r="C38" s="26" t="s">
        <v>99</v>
      </c>
      <c r="D38" s="24" t="s">
        <v>100</v>
      </c>
      <c r="E38" s="7">
        <v>2250</v>
      </c>
      <c r="F38" s="6">
        <v>2184</v>
      </c>
      <c r="G38" s="7">
        <v>57</v>
      </c>
      <c r="H38" s="8">
        <v>0.87152777777777779</v>
      </c>
      <c r="I38" s="8">
        <v>0.90277777777777779</v>
      </c>
      <c r="J38" s="9">
        <f t="shared" si="10"/>
        <v>3.125E-2</v>
      </c>
      <c r="K38" s="20">
        <f t="shared" si="11"/>
        <v>2.0604395604395604E-2</v>
      </c>
      <c r="L38" s="4"/>
      <c r="M38" s="4"/>
    </row>
    <row r="39" spans="2:13" ht="24" customHeight="1">
      <c r="B39" s="21"/>
      <c r="C39" s="26"/>
      <c r="D39" s="24" t="s">
        <v>28</v>
      </c>
      <c r="E39" s="7"/>
      <c r="F39" s="7">
        <v>4</v>
      </c>
      <c r="G39" s="19"/>
      <c r="H39" s="8"/>
      <c r="I39" s="8"/>
      <c r="J39" s="9"/>
      <c r="K39" s="10"/>
      <c r="L39" s="21"/>
      <c r="M39" s="25"/>
    </row>
    <row r="40" spans="2:13" ht="24" customHeight="1">
      <c r="B40" s="21"/>
      <c r="C40" s="26"/>
      <c r="D40" s="24" t="s">
        <v>29</v>
      </c>
      <c r="E40" s="7"/>
      <c r="F40" s="7">
        <v>5</v>
      </c>
      <c r="G40" s="19"/>
      <c r="H40" s="8"/>
      <c r="I40" s="8"/>
      <c r="J40" s="9"/>
      <c r="K40" s="20"/>
      <c r="L40" s="21"/>
      <c r="M40" s="25"/>
    </row>
    <row r="41" spans="2:13" ht="24" customHeight="1">
      <c r="B41" s="4"/>
      <c r="C41" s="28" t="s">
        <v>36</v>
      </c>
      <c r="D41" s="29"/>
      <c r="E41" s="30">
        <f>SUM(E4:E40)</f>
        <v>38250</v>
      </c>
      <c r="F41" s="30">
        <f>SUM(F4:F40)</f>
        <v>39296</v>
      </c>
      <c r="I41" s="31"/>
    </row>
    <row r="42" spans="2:13" ht="24" customHeight="1">
      <c r="C42" s="32"/>
      <c r="I42" s="31"/>
    </row>
    <row r="43" spans="2:13" ht="24" customHeight="1">
      <c r="B43" s="32"/>
      <c r="I43" s="31"/>
    </row>
    <row r="44" spans="2:13" ht="20.25" customHeight="1">
      <c r="I44" s="31"/>
    </row>
    <row r="45" spans="2:13" ht="20.25" customHeight="1">
      <c r="I45" s="31"/>
    </row>
    <row r="46" spans="2:13" ht="20.25" customHeight="1"/>
    <row r="47" spans="2:13" ht="20.25" customHeight="1"/>
    <row r="48" spans="2:13" ht="20.25" customHeight="1">
      <c r="L48" s="3" t="s">
        <v>37</v>
      </c>
    </row>
    <row r="49" spans="9:9" ht="20.25" customHeight="1"/>
    <row r="50" spans="9:9" ht="20.25" customHeight="1"/>
    <row r="51" spans="9:9" ht="21" customHeight="1"/>
    <row r="52" spans="9:9" ht="21" customHeight="1"/>
    <row r="53" spans="9:9" ht="18" customHeight="1"/>
    <row r="54" spans="9:9" ht="18" customHeight="1">
      <c r="I54" s="33"/>
    </row>
    <row r="55" spans="9:9" ht="18" customHeight="1"/>
    <row r="56" spans="9:9" ht="18" customHeight="1"/>
    <row r="57" spans="9:9" ht="18" customHeight="1"/>
    <row r="58" spans="9:9" ht="18" customHeight="1"/>
    <row r="59" spans="9:9" ht="18" customHeight="1"/>
    <row r="60" spans="9:9" ht="18" customHeight="1"/>
    <row r="61" spans="9:9" ht="18" customHeight="1"/>
    <row r="67" spans="2:13" s="34" customFormat="1" ht="27.6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41FA-6ADD-4A47-8DB5-5919BABF7137}">
  <dimension ref="B2:M71"/>
  <sheetViews>
    <sheetView topLeftCell="A23" zoomScale="80" zoomScaleNormal="80" workbookViewId="0">
      <selection activeCell="Z33" sqref="Z33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46329</v>
      </c>
      <c r="C4" s="18" t="s">
        <v>101</v>
      </c>
      <c r="D4" s="24" t="s">
        <v>14</v>
      </c>
      <c r="E4" s="7">
        <v>1000</v>
      </c>
      <c r="F4" s="6">
        <v>1000</v>
      </c>
      <c r="G4" s="7">
        <v>56</v>
      </c>
      <c r="H4" s="8">
        <v>0.38541666666666669</v>
      </c>
      <c r="I4" s="8">
        <v>0.40277777777777779</v>
      </c>
      <c r="J4" s="9">
        <f>I4-H4</f>
        <v>1.7361111111111105E-2</v>
      </c>
      <c r="K4" s="10">
        <f>IFERROR((J4*24*60)/F4,"")</f>
        <v>2.4999999999999994E-2</v>
      </c>
      <c r="L4" s="11"/>
      <c r="M4" s="4" t="s">
        <v>79</v>
      </c>
    </row>
    <row r="5" spans="2:13" ht="21" customHeight="1">
      <c r="B5" s="22" t="s">
        <v>102</v>
      </c>
      <c r="C5" s="4"/>
      <c r="D5" s="24" t="s">
        <v>17</v>
      </c>
      <c r="E5" s="7">
        <v>1000</v>
      </c>
      <c r="F5" s="6">
        <v>1000</v>
      </c>
      <c r="G5" s="7">
        <v>56</v>
      </c>
      <c r="H5" s="8">
        <v>0.40277777777777779</v>
      </c>
      <c r="I5" s="8">
        <v>0.41666666666666669</v>
      </c>
      <c r="J5" s="9">
        <f>I5-H5</f>
        <v>1.3888888888888895E-2</v>
      </c>
      <c r="K5" s="10">
        <f t="shared" ref="K5:K6" si="0">IFERROR((J5*24*60)/F5,"")</f>
        <v>2.0000000000000007E-2</v>
      </c>
      <c r="L5" s="12"/>
      <c r="M5" s="4"/>
    </row>
    <row r="6" spans="2:13" ht="21" customHeight="1">
      <c r="B6" s="4"/>
      <c r="C6" s="4"/>
      <c r="D6" s="24" t="s">
        <v>18</v>
      </c>
      <c r="E6" s="7">
        <v>1000</v>
      </c>
      <c r="F6" s="6">
        <v>960</v>
      </c>
      <c r="G6" s="7">
        <v>56</v>
      </c>
      <c r="H6" s="8">
        <v>0.41666666666666669</v>
      </c>
      <c r="I6" s="8">
        <v>0.42708333333333331</v>
      </c>
      <c r="J6" s="9">
        <f>I6-H6</f>
        <v>1.041666666666663E-2</v>
      </c>
      <c r="K6" s="10">
        <f t="shared" si="0"/>
        <v>1.5624999999999944E-2</v>
      </c>
      <c r="L6" s="4"/>
      <c r="M6" s="4"/>
    </row>
    <row r="7" spans="2:13" ht="21" customHeight="1">
      <c r="B7" s="4"/>
      <c r="C7" s="4"/>
      <c r="D7" s="24" t="s">
        <v>19</v>
      </c>
      <c r="E7" s="7">
        <v>1000</v>
      </c>
      <c r="F7" s="6">
        <v>1000</v>
      </c>
      <c r="G7" s="7">
        <v>56</v>
      </c>
      <c r="H7" s="8">
        <v>0.42708333333333331</v>
      </c>
      <c r="I7" s="8">
        <v>0.44097222222222221</v>
      </c>
      <c r="J7" s="9">
        <f t="shared" ref="J7:J10" si="1">I7-H7</f>
        <v>1.3888888888888895E-2</v>
      </c>
      <c r="K7" s="10">
        <f t="shared" ref="K7:K10" si="2">IFERROR((J7*24*60)/F7,"")</f>
        <v>2.0000000000000007E-2</v>
      </c>
      <c r="L7" s="4"/>
      <c r="M7" s="4"/>
    </row>
    <row r="8" spans="2:13" ht="21" customHeight="1">
      <c r="B8" s="4"/>
      <c r="C8" s="4"/>
      <c r="D8" s="24" t="s">
        <v>20</v>
      </c>
      <c r="E8" s="7">
        <v>1000</v>
      </c>
      <c r="F8" s="6">
        <v>960</v>
      </c>
      <c r="G8" s="7">
        <v>56</v>
      </c>
      <c r="H8" s="8">
        <v>0.44097222222222221</v>
      </c>
      <c r="I8" s="8">
        <v>0.4548611111111111</v>
      </c>
      <c r="J8" s="9">
        <f t="shared" si="1"/>
        <v>1.3888888888888895E-2</v>
      </c>
      <c r="K8" s="10">
        <f t="shared" si="2"/>
        <v>2.0833333333333339E-2</v>
      </c>
      <c r="L8" s="4"/>
      <c r="M8" s="4"/>
    </row>
    <row r="9" spans="2:13" ht="21" customHeight="1">
      <c r="B9" s="4"/>
      <c r="C9" s="4"/>
      <c r="D9" s="24" t="s">
        <v>21</v>
      </c>
      <c r="E9" s="7">
        <v>1000</v>
      </c>
      <c r="F9" s="6">
        <v>1000</v>
      </c>
      <c r="G9" s="7">
        <v>56</v>
      </c>
      <c r="H9" s="8">
        <v>0.4548611111111111</v>
      </c>
      <c r="I9" s="8">
        <v>0.46527777777777779</v>
      </c>
      <c r="J9" s="9">
        <f t="shared" si="1"/>
        <v>1.0416666666666685E-2</v>
      </c>
      <c r="K9" s="10">
        <f t="shared" si="2"/>
        <v>1.5000000000000027E-2</v>
      </c>
      <c r="L9" s="4"/>
      <c r="M9" s="4"/>
    </row>
    <row r="10" spans="2:13" ht="21" customHeight="1">
      <c r="B10" s="4"/>
      <c r="C10" s="4"/>
      <c r="D10" s="24" t="s">
        <v>22</v>
      </c>
      <c r="E10" s="7">
        <v>1000</v>
      </c>
      <c r="F10" s="6">
        <v>1000</v>
      </c>
      <c r="G10" s="7">
        <v>56</v>
      </c>
      <c r="H10" s="8">
        <v>0.46527777777777779</v>
      </c>
      <c r="I10" s="8">
        <v>0.47916666666666669</v>
      </c>
      <c r="J10" s="9">
        <f t="shared" si="1"/>
        <v>1.3888888888888895E-2</v>
      </c>
      <c r="K10" s="10">
        <f t="shared" si="2"/>
        <v>2.0000000000000007E-2</v>
      </c>
      <c r="L10" s="4"/>
      <c r="M10" s="4"/>
    </row>
    <row r="11" spans="2:13" ht="21" customHeight="1">
      <c r="B11" s="4"/>
      <c r="C11" s="4"/>
      <c r="D11" s="24" t="s">
        <v>28</v>
      </c>
      <c r="E11" s="7"/>
      <c r="F11" s="7">
        <v>20</v>
      </c>
      <c r="G11" s="19"/>
      <c r="H11" s="8"/>
      <c r="I11" s="8"/>
      <c r="J11" s="9"/>
      <c r="K11" s="10"/>
      <c r="L11" s="4"/>
      <c r="M11" s="4"/>
    </row>
    <row r="12" spans="2:13" ht="23.25" customHeight="1">
      <c r="B12" s="17"/>
      <c r="C12" s="26"/>
      <c r="D12" s="24" t="s">
        <v>29</v>
      </c>
      <c r="E12" s="7"/>
      <c r="F12" s="7">
        <v>8</v>
      </c>
      <c r="G12" s="19"/>
      <c r="H12" s="8"/>
      <c r="I12" s="8"/>
      <c r="J12" s="9"/>
      <c r="K12" s="20"/>
      <c r="L12" s="21"/>
      <c r="M12" s="4"/>
    </row>
    <row r="13" spans="2:13" ht="23.25" customHeight="1">
      <c r="B13" s="17"/>
      <c r="C13" s="26"/>
      <c r="D13" s="24" t="s">
        <v>30</v>
      </c>
      <c r="E13" s="24" t="s">
        <v>30</v>
      </c>
      <c r="F13" s="24" t="s">
        <v>30</v>
      </c>
      <c r="G13" s="19" t="s">
        <v>26</v>
      </c>
      <c r="H13" s="8">
        <v>0.47916666666666669</v>
      </c>
      <c r="I13" s="8">
        <v>0.52083333333333304</v>
      </c>
      <c r="J13" s="9">
        <f t="shared" ref="J13:J19" si="3">I13-H13</f>
        <v>4.1666666666666352E-2</v>
      </c>
      <c r="K13" s="20"/>
      <c r="L13" s="21"/>
      <c r="M13" s="25" t="s">
        <v>51</v>
      </c>
    </row>
    <row r="14" spans="2:13" ht="23.25" customHeight="1">
      <c r="B14" s="17"/>
      <c r="C14" s="26" t="s">
        <v>94</v>
      </c>
      <c r="D14" s="24" t="s">
        <v>14</v>
      </c>
      <c r="E14" s="7">
        <v>1500</v>
      </c>
      <c r="F14" s="7">
        <v>1512</v>
      </c>
      <c r="G14" s="19" t="s">
        <v>103</v>
      </c>
      <c r="H14" s="8">
        <v>0.53125</v>
      </c>
      <c r="I14" s="8">
        <v>0.55208333333333337</v>
      </c>
      <c r="J14" s="9">
        <f t="shared" si="3"/>
        <v>2.083333333333337E-2</v>
      </c>
      <c r="K14" s="10">
        <f t="shared" ref="K14:K18" si="4">IFERROR((J14*24*60)/F14,"")</f>
        <v>1.9841269841269875E-2</v>
      </c>
      <c r="L14" s="21"/>
      <c r="M14" s="4"/>
    </row>
    <row r="15" spans="2:13" ht="23.25" customHeight="1">
      <c r="B15" s="17"/>
      <c r="C15" s="26"/>
      <c r="D15" s="24" t="s">
        <v>17</v>
      </c>
      <c r="E15" s="7">
        <v>1500</v>
      </c>
      <c r="F15" s="7">
        <v>1488</v>
      </c>
      <c r="G15" s="19" t="s">
        <v>103</v>
      </c>
      <c r="H15" s="8">
        <v>0.55208333333333337</v>
      </c>
      <c r="I15" s="8">
        <v>0.56597222222222221</v>
      </c>
      <c r="J15" s="9">
        <f t="shared" si="3"/>
        <v>1.388888888888884E-2</v>
      </c>
      <c r="K15" s="10">
        <f t="shared" si="4"/>
        <v>1.3440860215053715E-2</v>
      </c>
      <c r="L15" s="21"/>
      <c r="M15" s="4"/>
    </row>
    <row r="16" spans="2:13" ht="23.25" customHeight="1">
      <c r="B16" s="17"/>
      <c r="C16" s="26"/>
      <c r="D16" s="24" t="s">
        <v>18</v>
      </c>
      <c r="E16" s="7">
        <v>1500</v>
      </c>
      <c r="F16" s="7">
        <v>1512</v>
      </c>
      <c r="G16" s="19" t="s">
        <v>34</v>
      </c>
      <c r="H16" s="8">
        <v>0.56597222222222221</v>
      </c>
      <c r="I16" s="8">
        <v>0.58333333333333337</v>
      </c>
      <c r="J16" s="9">
        <f t="shared" si="3"/>
        <v>1.736111111111116E-2</v>
      </c>
      <c r="K16" s="10">
        <f t="shared" si="4"/>
        <v>1.6534391534391582E-2</v>
      </c>
      <c r="L16" s="21"/>
      <c r="M16" s="4"/>
    </row>
    <row r="17" spans="2:13" ht="23.25" customHeight="1">
      <c r="B17" s="17"/>
      <c r="C17" s="26"/>
      <c r="D17" s="24" t="s">
        <v>19</v>
      </c>
      <c r="E17" s="7">
        <v>1500</v>
      </c>
      <c r="F17" s="7">
        <v>1536</v>
      </c>
      <c r="G17" s="19" t="s">
        <v>34</v>
      </c>
      <c r="H17" s="8">
        <v>0.58333333333333337</v>
      </c>
      <c r="I17" s="8">
        <v>0.59722222222222221</v>
      </c>
      <c r="J17" s="9">
        <f t="shared" si="3"/>
        <v>1.388888888888884E-2</v>
      </c>
      <c r="K17" s="10">
        <f t="shared" si="4"/>
        <v>1.3020833333333287E-2</v>
      </c>
      <c r="L17" s="21"/>
      <c r="M17" s="4"/>
    </row>
    <row r="18" spans="2:13" ht="23.25" customHeight="1">
      <c r="B18" s="17"/>
      <c r="C18" s="26"/>
      <c r="D18" s="24" t="s">
        <v>20</v>
      </c>
      <c r="E18" s="7">
        <v>1500</v>
      </c>
      <c r="F18" s="7">
        <v>1512</v>
      </c>
      <c r="G18" s="19" t="s">
        <v>34</v>
      </c>
      <c r="H18" s="8">
        <v>0.59722222222222221</v>
      </c>
      <c r="I18" s="8">
        <v>0.61111111111111116</v>
      </c>
      <c r="J18" s="9">
        <f t="shared" si="3"/>
        <v>1.3888888888888951E-2</v>
      </c>
      <c r="K18" s="10">
        <f t="shared" si="4"/>
        <v>1.3227513227513286E-2</v>
      </c>
      <c r="L18" s="21"/>
      <c r="M18" s="4"/>
    </row>
    <row r="19" spans="2:13" ht="23.25" customHeight="1">
      <c r="B19" s="17"/>
      <c r="C19" s="26"/>
      <c r="D19" s="24" t="s">
        <v>21</v>
      </c>
      <c r="E19" s="7">
        <v>1500</v>
      </c>
      <c r="F19" s="7">
        <v>1512</v>
      </c>
      <c r="G19" s="19" t="s">
        <v>34</v>
      </c>
      <c r="H19" s="8">
        <v>0.61111111111111116</v>
      </c>
      <c r="I19" s="8">
        <v>0.625</v>
      </c>
      <c r="J19" s="9">
        <f t="shared" si="3"/>
        <v>1.388888888888884E-2</v>
      </c>
      <c r="K19" s="10">
        <f>IFERROR((J19*24*60)/F19,"")</f>
        <v>1.322751322751318E-2</v>
      </c>
      <c r="L19" s="21"/>
      <c r="M19" s="4"/>
    </row>
    <row r="20" spans="2:13" ht="23.25" customHeight="1">
      <c r="B20" s="17"/>
      <c r="C20" s="26"/>
      <c r="D20" s="24" t="s">
        <v>22</v>
      </c>
      <c r="E20" s="7">
        <v>1500</v>
      </c>
      <c r="F20" s="7">
        <v>1512</v>
      </c>
      <c r="G20" s="19" t="s">
        <v>34</v>
      </c>
      <c r="H20" s="8">
        <v>0.625</v>
      </c>
      <c r="I20" s="8">
        <v>0.64236111111111116</v>
      </c>
      <c r="J20" s="9">
        <f t="shared" ref="J20:J27" si="5">I20-H20</f>
        <v>1.736111111111116E-2</v>
      </c>
      <c r="K20" s="10">
        <f t="shared" ref="K20:K27" si="6">IFERROR((J20*24*60)/F20,"")</f>
        <v>1.6534391534391582E-2</v>
      </c>
      <c r="L20" s="21"/>
      <c r="M20" s="4"/>
    </row>
    <row r="21" spans="2:13" ht="23.25" customHeight="1">
      <c r="B21" s="17"/>
      <c r="C21" s="26"/>
      <c r="D21" s="24" t="s">
        <v>23</v>
      </c>
      <c r="E21" s="7">
        <v>1500</v>
      </c>
      <c r="F21" s="7">
        <v>1512</v>
      </c>
      <c r="G21" s="19" t="s">
        <v>34</v>
      </c>
      <c r="H21" s="8">
        <v>0.64236111111111116</v>
      </c>
      <c r="I21" s="8">
        <v>0.65625</v>
      </c>
      <c r="J21" s="9">
        <f t="shared" si="5"/>
        <v>1.388888888888884E-2</v>
      </c>
      <c r="K21" s="10">
        <f t="shared" si="6"/>
        <v>1.322751322751318E-2</v>
      </c>
      <c r="L21" s="21"/>
      <c r="M21" s="4"/>
    </row>
    <row r="22" spans="2:13" ht="23.25" customHeight="1">
      <c r="B22" s="17"/>
      <c r="C22" s="26"/>
      <c r="D22" s="24" t="s">
        <v>24</v>
      </c>
      <c r="E22" s="7">
        <v>1500</v>
      </c>
      <c r="F22" s="7">
        <v>1512</v>
      </c>
      <c r="G22" s="19" t="s">
        <v>34</v>
      </c>
      <c r="H22" s="8">
        <v>0.65625</v>
      </c>
      <c r="I22" s="8">
        <v>0.67013888888888884</v>
      </c>
      <c r="J22" s="9">
        <f t="shared" si="5"/>
        <v>1.388888888888884E-2</v>
      </c>
      <c r="K22" s="10">
        <f t="shared" si="6"/>
        <v>1.322751322751318E-2</v>
      </c>
      <c r="L22" s="21"/>
      <c r="M22" s="4"/>
    </row>
    <row r="23" spans="2:13" ht="23.25" customHeight="1">
      <c r="B23" s="17"/>
      <c r="C23" s="26"/>
      <c r="D23" s="24" t="s">
        <v>25</v>
      </c>
      <c r="E23" s="7">
        <v>1500</v>
      </c>
      <c r="F23" s="7">
        <v>1512</v>
      </c>
      <c r="G23" s="19" t="s">
        <v>34</v>
      </c>
      <c r="H23" s="8">
        <v>0.67013888888888884</v>
      </c>
      <c r="I23" s="8">
        <v>0.6875</v>
      </c>
      <c r="J23" s="9">
        <f t="shared" si="5"/>
        <v>1.736111111111116E-2</v>
      </c>
      <c r="K23" s="10">
        <f t="shared" si="6"/>
        <v>1.6534391534391582E-2</v>
      </c>
      <c r="L23" s="21"/>
      <c r="M23" s="4"/>
    </row>
    <row r="24" spans="2:13" ht="23.25" customHeight="1">
      <c r="B24" s="17"/>
      <c r="C24" s="26"/>
      <c r="D24" s="24" t="s">
        <v>26</v>
      </c>
      <c r="E24" s="7">
        <v>1500</v>
      </c>
      <c r="F24" s="7">
        <v>1512</v>
      </c>
      <c r="G24" s="19" t="s">
        <v>34</v>
      </c>
      <c r="H24" s="8">
        <v>0.6875</v>
      </c>
      <c r="I24" s="8">
        <v>0.70486111111111116</v>
      </c>
      <c r="J24" s="9">
        <f t="shared" si="5"/>
        <v>1.736111111111116E-2</v>
      </c>
      <c r="K24" s="10">
        <f t="shared" si="6"/>
        <v>1.6534391534391582E-2</v>
      </c>
      <c r="L24" s="21"/>
      <c r="M24" s="4"/>
    </row>
    <row r="25" spans="2:13" ht="23.25" customHeight="1">
      <c r="B25" s="17"/>
      <c r="C25" s="26"/>
      <c r="D25" s="24" t="s">
        <v>27</v>
      </c>
      <c r="E25" s="7">
        <v>1500</v>
      </c>
      <c r="F25" s="7">
        <v>1464</v>
      </c>
      <c r="G25" s="19" t="s">
        <v>34</v>
      </c>
      <c r="H25" s="8">
        <v>0.70486111111111116</v>
      </c>
      <c r="I25" s="8">
        <v>0.72222222222222221</v>
      </c>
      <c r="J25" s="9">
        <f t="shared" si="5"/>
        <v>1.7361111111111049E-2</v>
      </c>
      <c r="K25" s="10">
        <f t="shared" si="6"/>
        <v>1.7076502732240376E-2</v>
      </c>
      <c r="L25" s="21"/>
      <c r="M25" s="4"/>
    </row>
    <row r="26" spans="2:13" ht="23.25" customHeight="1">
      <c r="B26" s="17"/>
      <c r="C26" s="26"/>
      <c r="D26" s="24" t="s">
        <v>49</v>
      </c>
      <c r="E26" s="7">
        <v>1500</v>
      </c>
      <c r="F26" s="7">
        <v>1464</v>
      </c>
      <c r="G26" s="19" t="s">
        <v>34</v>
      </c>
      <c r="H26" s="8">
        <v>0.72222222222222221</v>
      </c>
      <c r="I26" s="8">
        <v>0.73958333333333337</v>
      </c>
      <c r="J26" s="9">
        <f t="shared" si="5"/>
        <v>1.736111111111116E-2</v>
      </c>
      <c r="K26" s="10">
        <f t="shared" si="6"/>
        <v>1.7076502732240487E-2</v>
      </c>
      <c r="L26" s="21"/>
      <c r="M26" s="4"/>
    </row>
    <row r="27" spans="2:13" ht="23.25" customHeight="1">
      <c r="B27" s="17"/>
      <c r="C27" s="26"/>
      <c r="D27" s="24" t="s">
        <v>50</v>
      </c>
      <c r="E27" s="7">
        <v>1500</v>
      </c>
      <c r="F27" s="7">
        <v>1296</v>
      </c>
      <c r="G27" s="19" t="s">
        <v>34</v>
      </c>
      <c r="H27" s="8">
        <v>0.73958333333333337</v>
      </c>
      <c r="I27" s="8">
        <v>0.75347222222222221</v>
      </c>
      <c r="J27" s="9">
        <f t="shared" si="5"/>
        <v>1.388888888888884E-2</v>
      </c>
      <c r="K27" s="10">
        <f t="shared" si="6"/>
        <v>1.5432098765432044E-2</v>
      </c>
      <c r="L27" s="21"/>
      <c r="M27" s="4"/>
    </row>
    <row r="28" spans="2:13" ht="23.25" customHeight="1">
      <c r="B28" s="17"/>
      <c r="C28" s="26"/>
      <c r="D28" s="24" t="s">
        <v>28</v>
      </c>
      <c r="E28" s="7"/>
      <c r="F28" s="7">
        <v>3</v>
      </c>
      <c r="G28" s="19"/>
      <c r="H28" s="8"/>
      <c r="I28" s="8"/>
      <c r="J28" s="9"/>
      <c r="K28" s="20"/>
      <c r="L28" s="21"/>
      <c r="M28" s="4"/>
    </row>
    <row r="29" spans="2:13" ht="23.25" customHeight="1">
      <c r="B29" s="17"/>
      <c r="C29" s="26"/>
      <c r="D29" s="24" t="s">
        <v>29</v>
      </c>
      <c r="E29" s="7"/>
      <c r="F29" s="7">
        <v>16</v>
      </c>
      <c r="G29" s="19"/>
      <c r="H29" s="8"/>
      <c r="I29" s="8"/>
      <c r="J29" s="9"/>
      <c r="K29" s="20"/>
      <c r="L29" s="21"/>
      <c r="M29" s="4"/>
    </row>
    <row r="30" spans="2:13" ht="23.25" customHeight="1">
      <c r="B30" s="17"/>
      <c r="C30" s="26"/>
      <c r="D30" s="24" t="s">
        <v>30</v>
      </c>
      <c r="E30" s="24" t="s">
        <v>30</v>
      </c>
      <c r="F30" s="24" t="s">
        <v>30</v>
      </c>
      <c r="G30" s="19" t="s">
        <v>34</v>
      </c>
      <c r="H30" s="8">
        <v>0.75347222222222221</v>
      </c>
      <c r="I30" s="8">
        <v>0.76736111111111116</v>
      </c>
      <c r="J30" s="9">
        <f t="shared" ref="J30:J36" si="7">I30-H30</f>
        <v>1.3888888888888951E-2</v>
      </c>
      <c r="K30" s="10" t="str">
        <f t="shared" ref="K30:K36" si="8">IFERROR((J30*24*60)/F30,"")</f>
        <v/>
      </c>
      <c r="L30" s="21"/>
      <c r="M30" s="25" t="s">
        <v>51</v>
      </c>
    </row>
    <row r="31" spans="2:13" ht="23.25" customHeight="1">
      <c r="B31" s="17"/>
      <c r="C31" s="26" t="s">
        <v>90</v>
      </c>
      <c r="D31" s="24" t="s">
        <v>14</v>
      </c>
      <c r="E31" s="7">
        <v>1500</v>
      </c>
      <c r="F31" s="7">
        <v>1512</v>
      </c>
      <c r="G31" s="19" t="s">
        <v>91</v>
      </c>
      <c r="H31" s="8">
        <v>0.76736111111111116</v>
      </c>
      <c r="I31" s="8">
        <v>0.79166666666666663</v>
      </c>
      <c r="J31" s="9">
        <f t="shared" si="7"/>
        <v>2.4305555555555469E-2</v>
      </c>
      <c r="K31" s="10">
        <f t="shared" si="8"/>
        <v>2.3148148148148064E-2</v>
      </c>
      <c r="L31" s="21"/>
      <c r="M31" s="4" t="s">
        <v>104</v>
      </c>
    </row>
    <row r="32" spans="2:13" ht="23.25" customHeight="1">
      <c r="B32" s="17"/>
      <c r="C32" s="26"/>
      <c r="D32" s="24" t="s">
        <v>17</v>
      </c>
      <c r="E32" s="7">
        <v>1500</v>
      </c>
      <c r="F32" s="7">
        <v>1488</v>
      </c>
      <c r="G32" s="19" t="s">
        <v>91</v>
      </c>
      <c r="H32" s="8">
        <v>0.79166666666666663</v>
      </c>
      <c r="I32" s="8">
        <v>0.8125</v>
      </c>
      <c r="J32" s="9">
        <f t="shared" si="7"/>
        <v>2.083333333333337E-2</v>
      </c>
      <c r="K32" s="10">
        <f t="shared" si="8"/>
        <v>2.0161290322580679E-2</v>
      </c>
      <c r="L32" s="21"/>
      <c r="M32" s="4"/>
    </row>
    <row r="33" spans="2:13" ht="23.25" customHeight="1">
      <c r="B33" s="17"/>
      <c r="C33" s="26"/>
      <c r="D33" s="24" t="s">
        <v>18</v>
      </c>
      <c r="E33" s="7">
        <v>1500</v>
      </c>
      <c r="F33" s="7">
        <v>1488</v>
      </c>
      <c r="G33" s="19" t="s">
        <v>91</v>
      </c>
      <c r="H33" s="8">
        <v>0.8125</v>
      </c>
      <c r="I33" s="8">
        <v>0.83333333333333337</v>
      </c>
      <c r="J33" s="9">
        <f t="shared" si="7"/>
        <v>2.083333333333337E-2</v>
      </c>
      <c r="K33" s="10">
        <f t="shared" si="8"/>
        <v>2.0161290322580679E-2</v>
      </c>
      <c r="L33" s="21"/>
      <c r="M33" s="4"/>
    </row>
    <row r="34" spans="2:13" ht="23.25" customHeight="1">
      <c r="B34" s="17"/>
      <c r="C34" s="26"/>
      <c r="D34" s="24" t="s">
        <v>19</v>
      </c>
      <c r="E34" s="7">
        <v>1500</v>
      </c>
      <c r="F34" s="7">
        <v>1488</v>
      </c>
      <c r="G34" s="19" t="s">
        <v>91</v>
      </c>
      <c r="H34" s="8">
        <v>0.83333333333333337</v>
      </c>
      <c r="I34" s="8">
        <v>0.86111111111111116</v>
      </c>
      <c r="J34" s="9">
        <f t="shared" si="7"/>
        <v>2.777777777777779E-2</v>
      </c>
      <c r="K34" s="10">
        <f t="shared" si="8"/>
        <v>2.6881720430107538E-2</v>
      </c>
      <c r="L34" s="21"/>
      <c r="M34" s="4"/>
    </row>
    <row r="35" spans="2:13" ht="23.25" customHeight="1">
      <c r="B35" s="17"/>
      <c r="C35" s="26"/>
      <c r="D35" s="24" t="s">
        <v>20</v>
      </c>
      <c r="E35" s="7">
        <v>1500</v>
      </c>
      <c r="F35" s="7">
        <v>1440</v>
      </c>
      <c r="G35" s="19" t="s">
        <v>91</v>
      </c>
      <c r="H35" s="8">
        <v>0.86111111111111116</v>
      </c>
      <c r="I35" s="8">
        <v>0.88194444444444442</v>
      </c>
      <c r="J35" s="9">
        <f t="shared" si="7"/>
        <v>2.0833333333333259E-2</v>
      </c>
      <c r="K35" s="10">
        <f t="shared" si="8"/>
        <v>2.0833333333333259E-2</v>
      </c>
      <c r="L35" s="21"/>
      <c r="M35" s="4"/>
    </row>
    <row r="36" spans="2:13" ht="23.25" customHeight="1">
      <c r="B36" s="17"/>
      <c r="C36" s="26"/>
      <c r="D36" s="24" t="s">
        <v>21</v>
      </c>
      <c r="E36" s="7">
        <v>1500</v>
      </c>
      <c r="F36" s="7">
        <v>1512</v>
      </c>
      <c r="G36" s="19" t="s">
        <v>91</v>
      </c>
      <c r="H36" s="8">
        <v>0.88194444444444442</v>
      </c>
      <c r="I36" s="8">
        <v>0.90972222222222221</v>
      </c>
      <c r="J36" s="9">
        <f t="shared" si="7"/>
        <v>2.777777777777779E-2</v>
      </c>
      <c r="K36" s="10">
        <f t="shared" si="8"/>
        <v>2.6455026455026464E-2</v>
      </c>
      <c r="L36" s="21"/>
      <c r="M36" s="4"/>
    </row>
    <row r="37" spans="2:13" ht="23.25" customHeight="1">
      <c r="B37" s="17"/>
      <c r="C37" s="26"/>
      <c r="D37" s="24" t="s">
        <v>28</v>
      </c>
      <c r="E37" s="7"/>
      <c r="F37" s="7">
        <v>19</v>
      </c>
      <c r="G37" s="19"/>
      <c r="H37" s="8"/>
      <c r="I37" s="8"/>
      <c r="J37" s="9"/>
      <c r="K37" s="20"/>
      <c r="L37" s="21"/>
      <c r="M37" s="4"/>
    </row>
    <row r="38" spans="2:13" ht="23.25" customHeight="1">
      <c r="B38" s="17"/>
      <c r="C38" s="26"/>
      <c r="D38" s="24" t="s">
        <v>29</v>
      </c>
      <c r="E38" s="7"/>
      <c r="F38" s="7">
        <v>10</v>
      </c>
      <c r="G38" s="19"/>
      <c r="H38" s="8"/>
      <c r="I38" s="8"/>
      <c r="J38" s="9"/>
      <c r="K38" s="20"/>
      <c r="L38" s="21"/>
      <c r="M38" s="4"/>
    </row>
    <row r="39" spans="2:13" ht="23.25" customHeight="1">
      <c r="B39" s="17"/>
      <c r="C39" s="26" t="s">
        <v>105</v>
      </c>
      <c r="D39" s="24" t="s">
        <v>30</v>
      </c>
      <c r="E39" s="7">
        <v>100</v>
      </c>
      <c r="F39" s="6">
        <v>0</v>
      </c>
      <c r="G39" s="7">
        <v>7</v>
      </c>
      <c r="H39" s="8">
        <v>0.68055555555555558</v>
      </c>
      <c r="I39" s="8">
        <v>0.76388888888888884</v>
      </c>
      <c r="J39" s="9">
        <f t="shared" ref="J39" si="9">I39-H39</f>
        <v>8.3333333333333259E-2</v>
      </c>
      <c r="K39" s="10" t="str">
        <f t="shared" ref="K39" si="10">IFERROR((J39*24*60)/F39,"")</f>
        <v/>
      </c>
      <c r="L39" s="4"/>
      <c r="M39" s="4"/>
    </row>
    <row r="40" spans="2:13" ht="24" customHeight="1">
      <c r="B40" s="42"/>
      <c r="C40" s="53"/>
      <c r="D40" s="36" t="s">
        <v>29</v>
      </c>
      <c r="E40" s="7"/>
      <c r="F40" s="7">
        <v>5</v>
      </c>
      <c r="G40" s="47"/>
      <c r="H40" s="48"/>
      <c r="I40" s="48"/>
      <c r="J40" s="49"/>
      <c r="K40" s="50"/>
      <c r="L40" s="51"/>
      <c r="M40" s="52"/>
    </row>
    <row r="41" spans="2:13" ht="24" customHeight="1">
      <c r="B41" s="42"/>
      <c r="C41" s="53"/>
      <c r="D41" s="36" t="s">
        <v>44</v>
      </c>
      <c r="E41" s="37"/>
      <c r="F41" s="45">
        <v>61</v>
      </c>
      <c r="G41" s="38"/>
      <c r="H41" s="39"/>
      <c r="I41" s="39"/>
      <c r="J41" s="40"/>
      <c r="K41" s="41"/>
      <c r="L41" s="42"/>
      <c r="M41" s="43"/>
    </row>
    <row r="42" spans="2:13" ht="24" customHeight="1">
      <c r="B42" s="42"/>
      <c r="C42" s="53" t="s">
        <v>106</v>
      </c>
      <c r="D42" s="24" t="s">
        <v>30</v>
      </c>
      <c r="E42" s="7">
        <v>100</v>
      </c>
      <c r="F42" s="45">
        <v>0</v>
      </c>
      <c r="G42" s="38" t="s">
        <v>22</v>
      </c>
      <c r="H42" s="8">
        <v>0.68055555555555558</v>
      </c>
      <c r="I42" s="8">
        <v>0.76388888888888884</v>
      </c>
      <c r="J42" s="9">
        <f t="shared" ref="J42" si="11">I42-H42</f>
        <v>8.3333333333333259E-2</v>
      </c>
      <c r="K42" s="41"/>
      <c r="L42" s="42"/>
      <c r="M42" s="43"/>
    </row>
    <row r="43" spans="2:13" ht="24" customHeight="1">
      <c r="B43" s="42"/>
      <c r="C43" s="53"/>
      <c r="D43" s="36" t="s">
        <v>29</v>
      </c>
      <c r="E43" s="7"/>
      <c r="F43" s="45">
        <v>5</v>
      </c>
      <c r="G43" s="38"/>
      <c r="H43" s="39"/>
      <c r="I43" s="39"/>
      <c r="J43" s="40"/>
      <c r="K43" s="41"/>
      <c r="L43" s="42"/>
      <c r="M43" s="43"/>
    </row>
    <row r="44" spans="2:13" ht="24" customHeight="1">
      <c r="B44" s="42"/>
      <c r="C44" s="53"/>
      <c r="D44" s="36" t="s">
        <v>44</v>
      </c>
      <c r="E44" s="37"/>
      <c r="F44" s="45">
        <v>53</v>
      </c>
      <c r="G44" s="38"/>
      <c r="H44" s="39"/>
      <c r="I44" s="39"/>
      <c r="J44" s="40"/>
      <c r="K44" s="41"/>
      <c r="L44" s="42"/>
      <c r="M44" s="43"/>
    </row>
    <row r="45" spans="2:13" ht="24" customHeight="1">
      <c r="B45" s="54"/>
      <c r="C45" s="28" t="s">
        <v>36</v>
      </c>
      <c r="D45" s="29"/>
      <c r="E45" s="30">
        <f>SUM(E4:E44)</f>
        <v>37200</v>
      </c>
      <c r="F45" s="46">
        <f>SUM(F4:F44)</f>
        <v>36904</v>
      </c>
      <c r="G45" s="42"/>
      <c r="H45" s="42"/>
      <c r="I45" s="44"/>
      <c r="J45" s="42"/>
      <c r="K45" s="42"/>
      <c r="L45" s="42"/>
      <c r="M45" s="42"/>
    </row>
    <row r="46" spans="2:13" ht="24" customHeight="1">
      <c r="C46" s="32"/>
      <c r="I46" s="31"/>
    </row>
    <row r="47" spans="2:13" ht="24" customHeight="1">
      <c r="B47" s="32"/>
      <c r="I47" s="31"/>
    </row>
    <row r="48" spans="2:13" ht="20.25" customHeight="1">
      <c r="I48" s="31"/>
    </row>
    <row r="49" spans="9:12" ht="20.25" customHeight="1">
      <c r="I49" s="31"/>
    </row>
    <row r="50" spans="9:12" ht="20.25" customHeight="1"/>
    <row r="51" spans="9:12" ht="20.25" customHeight="1"/>
    <row r="52" spans="9:12" ht="20.25" customHeight="1">
      <c r="L52" s="3" t="s">
        <v>37</v>
      </c>
    </row>
    <row r="53" spans="9:12" ht="20.25" customHeight="1"/>
    <row r="54" spans="9:12" ht="20.25" customHeight="1"/>
    <row r="55" spans="9:12" ht="21" customHeight="1"/>
    <row r="56" spans="9:12" ht="21" customHeight="1"/>
    <row r="57" spans="9:12" ht="18" customHeight="1"/>
    <row r="58" spans="9:12" ht="18" customHeight="1">
      <c r="I58" s="33"/>
    </row>
    <row r="59" spans="9:12" ht="18" customHeight="1"/>
    <row r="60" spans="9:12" ht="18" customHeight="1"/>
    <row r="61" spans="9:12" ht="18" customHeight="1"/>
    <row r="62" spans="9:12" ht="18" customHeight="1"/>
    <row r="63" spans="9:12" ht="18" customHeight="1"/>
    <row r="64" spans="9:12" ht="18" customHeight="1"/>
    <row r="65" spans="2:13" ht="18" customHeight="1"/>
    <row r="71" spans="2:13" s="34" customFormat="1" ht="27.6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6BC9-BF35-4D53-B07E-20BC69E8DE9C}">
  <dimension ref="B2:M69"/>
  <sheetViews>
    <sheetView topLeftCell="C27" zoomScale="80" zoomScaleNormal="80" workbookViewId="0">
      <selection activeCell="C29" sqref="C29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6.5703125" style="3" customWidth="1"/>
    <col min="13" max="13" width="53.42578125" style="3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>
        <v>46359</v>
      </c>
      <c r="C4" s="18" t="s">
        <v>101</v>
      </c>
      <c r="D4" s="24" t="s">
        <v>14</v>
      </c>
      <c r="E4" s="7">
        <v>1000</v>
      </c>
      <c r="F4" s="6">
        <v>960</v>
      </c>
      <c r="G4" s="7">
        <v>54</v>
      </c>
      <c r="H4" s="8">
        <v>0.38541666666666669</v>
      </c>
      <c r="I4" s="8">
        <v>0.39930555555555558</v>
      </c>
      <c r="J4" s="9">
        <f>I4-H4</f>
        <v>1.3888888888888895E-2</v>
      </c>
      <c r="K4" s="10">
        <f>IFERROR((J4*24*60)/F4,"")</f>
        <v>2.0833333333333339E-2</v>
      </c>
      <c r="L4" s="11"/>
      <c r="M4" s="4" t="s">
        <v>79</v>
      </c>
    </row>
    <row r="5" spans="2:13" ht="21" customHeight="1">
      <c r="B5" s="22" t="s">
        <v>107</v>
      </c>
      <c r="C5" s="4"/>
      <c r="D5" s="24" t="s">
        <v>17</v>
      </c>
      <c r="E5" s="7">
        <v>1000</v>
      </c>
      <c r="F5" s="6">
        <v>960</v>
      </c>
      <c r="G5" s="7">
        <v>54</v>
      </c>
      <c r="H5" s="8">
        <v>0.39930555555555558</v>
      </c>
      <c r="I5" s="8">
        <v>0.40972222222222221</v>
      </c>
      <c r="J5" s="9">
        <f>I5-H5</f>
        <v>1.041666666666663E-2</v>
      </c>
      <c r="K5" s="10">
        <f t="shared" ref="K5:K16" si="0">IFERROR((J5*24*60)/F5,"")</f>
        <v>1.5624999999999944E-2</v>
      </c>
      <c r="L5" s="12"/>
      <c r="M5" s="4"/>
    </row>
    <row r="6" spans="2:13" ht="21" customHeight="1">
      <c r="B6" s="4"/>
      <c r="C6" s="4"/>
      <c r="D6" s="24" t="s">
        <v>18</v>
      </c>
      <c r="E6" s="7">
        <v>1000</v>
      </c>
      <c r="F6" s="6">
        <v>960</v>
      </c>
      <c r="G6" s="7">
        <v>54</v>
      </c>
      <c r="H6" s="8">
        <v>0.40972222222222221</v>
      </c>
      <c r="I6" s="8">
        <v>0.4201388888888889</v>
      </c>
      <c r="J6" s="9">
        <f>I6-H6</f>
        <v>1.0416666666666685E-2</v>
      </c>
      <c r="K6" s="10">
        <f t="shared" si="0"/>
        <v>1.5625000000000028E-2</v>
      </c>
      <c r="L6" s="4"/>
      <c r="M6" s="4"/>
    </row>
    <row r="7" spans="2:13" ht="21" customHeight="1">
      <c r="B7" s="4"/>
      <c r="C7" s="4"/>
      <c r="D7" s="24" t="s">
        <v>19</v>
      </c>
      <c r="E7" s="7">
        <v>1000</v>
      </c>
      <c r="F7" s="6">
        <v>1080</v>
      </c>
      <c r="G7" s="7">
        <v>54</v>
      </c>
      <c r="H7" s="8">
        <v>0.4201388888888889</v>
      </c>
      <c r="I7" s="8">
        <v>0.43055555555555558</v>
      </c>
      <c r="J7" s="9">
        <f t="shared" ref="J7:J16" si="1">I7-H7</f>
        <v>1.0416666666666685E-2</v>
      </c>
      <c r="K7" s="10">
        <f t="shared" si="0"/>
        <v>1.3888888888888914E-2</v>
      </c>
      <c r="L7" s="4"/>
      <c r="M7" s="4"/>
    </row>
    <row r="8" spans="2:13" ht="21" customHeight="1">
      <c r="B8" s="4"/>
      <c r="C8" s="4"/>
      <c r="D8" s="24" t="s">
        <v>20</v>
      </c>
      <c r="E8" s="7">
        <v>1000</v>
      </c>
      <c r="F8" s="6">
        <v>1040</v>
      </c>
      <c r="G8" s="7">
        <v>54</v>
      </c>
      <c r="H8" s="8">
        <v>0.43055555555555558</v>
      </c>
      <c r="I8" s="8">
        <v>0.44444444444444442</v>
      </c>
      <c r="J8" s="9">
        <f t="shared" si="1"/>
        <v>1.388888888888884E-2</v>
      </c>
      <c r="K8" s="10">
        <f t="shared" si="0"/>
        <v>1.9230769230769162E-2</v>
      </c>
      <c r="L8" s="4"/>
      <c r="M8" s="4"/>
    </row>
    <row r="9" spans="2:13" ht="21" customHeight="1">
      <c r="B9" s="4"/>
      <c r="C9" s="4"/>
      <c r="D9" s="24" t="s">
        <v>21</v>
      </c>
      <c r="E9" s="7">
        <v>1000</v>
      </c>
      <c r="F9" s="6">
        <v>1000</v>
      </c>
      <c r="G9" s="7">
        <v>54</v>
      </c>
      <c r="H9" s="8">
        <v>0.44444444444444442</v>
      </c>
      <c r="I9" s="8">
        <v>0.4548611111111111</v>
      </c>
      <c r="J9" s="9">
        <f t="shared" si="1"/>
        <v>1.0416666666666685E-2</v>
      </c>
      <c r="K9" s="10">
        <f t="shared" si="0"/>
        <v>1.5000000000000027E-2</v>
      </c>
      <c r="L9" s="4"/>
      <c r="M9" s="4"/>
    </row>
    <row r="10" spans="2:13" ht="21" customHeight="1">
      <c r="B10" s="4"/>
      <c r="C10" s="4"/>
      <c r="D10" s="24" t="s">
        <v>22</v>
      </c>
      <c r="E10" s="7">
        <v>1000</v>
      </c>
      <c r="F10" s="6">
        <v>1000</v>
      </c>
      <c r="G10" s="7">
        <v>54</v>
      </c>
      <c r="H10" s="8">
        <v>0.4548611111111111</v>
      </c>
      <c r="I10" s="8">
        <v>0.46527777777777779</v>
      </c>
      <c r="J10" s="9">
        <f t="shared" si="1"/>
        <v>1.0416666666666685E-2</v>
      </c>
      <c r="K10" s="10">
        <f t="shared" si="0"/>
        <v>1.5000000000000027E-2</v>
      </c>
      <c r="L10" s="4"/>
      <c r="M10" s="4"/>
    </row>
    <row r="11" spans="2:13" ht="21" customHeight="1">
      <c r="B11" s="4"/>
      <c r="C11" s="4"/>
      <c r="D11" s="24" t="s">
        <v>23</v>
      </c>
      <c r="E11" s="7">
        <v>1000</v>
      </c>
      <c r="F11" s="6">
        <v>1000</v>
      </c>
      <c r="G11" s="7">
        <v>54</v>
      </c>
      <c r="H11" s="8">
        <v>0.46527777777777779</v>
      </c>
      <c r="I11" s="8">
        <v>0.47916666666666669</v>
      </c>
      <c r="J11" s="9">
        <f t="shared" si="1"/>
        <v>1.3888888888888895E-2</v>
      </c>
      <c r="K11" s="10">
        <f t="shared" si="0"/>
        <v>2.0000000000000007E-2</v>
      </c>
      <c r="L11" s="4"/>
      <c r="M11" s="4"/>
    </row>
    <row r="12" spans="2:13" ht="21" customHeight="1">
      <c r="B12" s="4"/>
      <c r="C12" s="4"/>
      <c r="D12" s="24" t="s">
        <v>24</v>
      </c>
      <c r="E12" s="7">
        <v>1000</v>
      </c>
      <c r="F12" s="6">
        <v>1040</v>
      </c>
      <c r="G12" s="7">
        <v>54</v>
      </c>
      <c r="H12" s="8">
        <v>0.47916666666666669</v>
      </c>
      <c r="I12" s="8">
        <v>0.48958333333333331</v>
      </c>
      <c r="J12" s="9">
        <f t="shared" si="1"/>
        <v>1.041666666666663E-2</v>
      </c>
      <c r="K12" s="10">
        <f t="shared" si="0"/>
        <v>1.4423076923076872E-2</v>
      </c>
      <c r="L12" s="4"/>
      <c r="M12" s="4"/>
    </row>
    <row r="13" spans="2:13" ht="21" customHeight="1">
      <c r="B13" s="4"/>
      <c r="C13" s="4"/>
      <c r="D13" s="24" t="s">
        <v>25</v>
      </c>
      <c r="E13" s="7">
        <v>1000</v>
      </c>
      <c r="F13" s="6">
        <v>1000</v>
      </c>
      <c r="G13" s="7">
        <v>54</v>
      </c>
      <c r="H13" s="8">
        <v>0.48958333333333331</v>
      </c>
      <c r="I13" s="8">
        <v>0.5</v>
      </c>
      <c r="J13" s="9">
        <f t="shared" si="1"/>
        <v>1.0416666666666685E-2</v>
      </c>
      <c r="K13" s="10">
        <f t="shared" si="0"/>
        <v>1.5000000000000027E-2</v>
      </c>
      <c r="L13" s="4"/>
      <c r="M13" s="4"/>
    </row>
    <row r="14" spans="2:13" ht="21" customHeight="1">
      <c r="B14" s="4"/>
      <c r="C14" s="4"/>
      <c r="D14" s="24" t="s">
        <v>26</v>
      </c>
      <c r="E14" s="7">
        <v>1000</v>
      </c>
      <c r="F14" s="6">
        <v>1080</v>
      </c>
      <c r="G14" s="7">
        <v>54</v>
      </c>
      <c r="H14" s="8">
        <v>0.5</v>
      </c>
      <c r="I14" s="8">
        <v>0.51388888888888884</v>
      </c>
      <c r="J14" s="9">
        <f t="shared" si="1"/>
        <v>1.388888888888884E-2</v>
      </c>
      <c r="K14" s="10">
        <f t="shared" si="0"/>
        <v>1.8518518518518452E-2</v>
      </c>
      <c r="L14" s="4"/>
      <c r="M14" s="4"/>
    </row>
    <row r="15" spans="2:13" ht="21" customHeight="1">
      <c r="B15" s="4"/>
      <c r="C15" s="4"/>
      <c r="D15" s="24" t="s">
        <v>27</v>
      </c>
      <c r="E15" s="7">
        <v>1000</v>
      </c>
      <c r="F15" s="6">
        <v>1080</v>
      </c>
      <c r="G15" s="7">
        <v>54</v>
      </c>
      <c r="H15" s="8">
        <v>0.51388888888888884</v>
      </c>
      <c r="I15" s="8">
        <v>0.52777777777777779</v>
      </c>
      <c r="J15" s="9">
        <f t="shared" si="1"/>
        <v>1.3888888888888951E-2</v>
      </c>
      <c r="K15" s="10">
        <f t="shared" si="0"/>
        <v>1.8518518518518601E-2</v>
      </c>
      <c r="L15" s="4"/>
      <c r="M15" s="4"/>
    </row>
    <row r="16" spans="2:13" ht="21" customHeight="1">
      <c r="B16" s="4"/>
      <c r="C16" s="4"/>
      <c r="D16" s="24" t="s">
        <v>49</v>
      </c>
      <c r="E16" s="7">
        <v>1000</v>
      </c>
      <c r="F16" s="6">
        <v>1160</v>
      </c>
      <c r="G16" s="7">
        <v>54</v>
      </c>
      <c r="H16" s="8">
        <v>0.52777777777777779</v>
      </c>
      <c r="I16" s="8">
        <v>0.54166666666666663</v>
      </c>
      <c r="J16" s="9">
        <f t="shared" si="1"/>
        <v>1.388888888888884E-2</v>
      </c>
      <c r="K16" s="10">
        <f t="shared" si="0"/>
        <v>1.7241379310344765E-2</v>
      </c>
      <c r="L16" s="4"/>
      <c r="M16" s="4"/>
    </row>
    <row r="17" spans="2:13" ht="21" customHeight="1">
      <c r="B17" s="4"/>
      <c r="C17" s="4"/>
      <c r="D17" s="24" t="s">
        <v>28</v>
      </c>
      <c r="E17" s="7"/>
      <c r="F17" s="7">
        <v>13</v>
      </c>
      <c r="G17" s="19"/>
      <c r="H17" s="8"/>
      <c r="I17" s="8"/>
      <c r="J17" s="9"/>
      <c r="K17" s="10"/>
      <c r="L17" s="4"/>
      <c r="M17" s="4"/>
    </row>
    <row r="18" spans="2:13" ht="23.25" customHeight="1">
      <c r="B18" s="17"/>
      <c r="C18" s="26"/>
      <c r="D18" s="24" t="s">
        <v>29</v>
      </c>
      <c r="E18" s="7"/>
      <c r="F18" s="7">
        <v>16</v>
      </c>
      <c r="G18" s="19"/>
      <c r="H18" s="8"/>
      <c r="I18" s="8"/>
      <c r="J18" s="9"/>
      <c r="K18" s="20"/>
      <c r="L18" s="21"/>
      <c r="M18" s="4"/>
    </row>
    <row r="19" spans="2:13" ht="23.25" customHeight="1">
      <c r="B19" s="17"/>
      <c r="C19" s="26"/>
      <c r="D19" s="24" t="s">
        <v>30</v>
      </c>
      <c r="E19" s="24" t="s">
        <v>30</v>
      </c>
      <c r="F19" s="24" t="s">
        <v>30</v>
      </c>
      <c r="G19" s="19" t="s">
        <v>25</v>
      </c>
      <c r="H19" s="8">
        <v>0.54166666666666663</v>
      </c>
      <c r="I19" s="8">
        <v>0.58333333333333304</v>
      </c>
      <c r="J19" s="9">
        <f t="shared" ref="J19:J25" si="2">I19-H19</f>
        <v>4.1666666666666408E-2</v>
      </c>
      <c r="K19" s="20"/>
      <c r="L19" s="21"/>
      <c r="M19" s="25" t="s">
        <v>51</v>
      </c>
    </row>
    <row r="20" spans="2:13" ht="23.25" customHeight="1">
      <c r="B20" s="17"/>
      <c r="C20" s="26" t="s">
        <v>32</v>
      </c>
      <c r="D20" s="24" t="s">
        <v>14</v>
      </c>
      <c r="E20" s="7">
        <v>1500</v>
      </c>
      <c r="F20" s="7">
        <v>1512</v>
      </c>
      <c r="G20" s="19" t="s">
        <v>73</v>
      </c>
      <c r="H20" s="8">
        <v>0.59375</v>
      </c>
      <c r="I20" s="8">
        <v>0.625</v>
      </c>
      <c r="J20" s="9">
        <f t="shared" si="2"/>
        <v>3.125E-2</v>
      </c>
      <c r="K20" s="10">
        <f t="shared" ref="K20:K24" si="3">IFERROR((J20*24*60)/F20,"")</f>
        <v>2.976190476190476E-2</v>
      </c>
      <c r="L20" s="21"/>
      <c r="M20" s="4"/>
    </row>
    <row r="21" spans="2:13" ht="23.25" customHeight="1">
      <c r="B21" s="17"/>
      <c r="C21" s="26"/>
      <c r="D21" s="24" t="s">
        <v>17</v>
      </c>
      <c r="E21" s="7">
        <v>1500</v>
      </c>
      <c r="F21" s="7">
        <v>1488</v>
      </c>
      <c r="G21" s="19" t="s">
        <v>91</v>
      </c>
      <c r="H21" s="8">
        <v>0.625</v>
      </c>
      <c r="I21" s="8">
        <v>0.64583333333333337</v>
      </c>
      <c r="J21" s="9">
        <f t="shared" si="2"/>
        <v>2.083333333333337E-2</v>
      </c>
      <c r="K21" s="10">
        <f t="shared" si="3"/>
        <v>2.0161290322580679E-2</v>
      </c>
      <c r="L21" s="21"/>
      <c r="M21" s="4"/>
    </row>
    <row r="22" spans="2:13" ht="23.25" customHeight="1">
      <c r="B22" s="17"/>
      <c r="C22" s="26"/>
      <c r="D22" s="24" t="s">
        <v>18</v>
      </c>
      <c r="E22" s="7">
        <v>1500</v>
      </c>
      <c r="F22" s="7">
        <v>1512</v>
      </c>
      <c r="G22" s="19" t="s">
        <v>91</v>
      </c>
      <c r="H22" s="8">
        <v>0.64583333333333337</v>
      </c>
      <c r="I22" s="8">
        <v>0.66666666666666663</v>
      </c>
      <c r="J22" s="9">
        <f t="shared" si="2"/>
        <v>2.0833333333333259E-2</v>
      </c>
      <c r="K22" s="10">
        <f t="shared" si="3"/>
        <v>1.9841269841269771E-2</v>
      </c>
      <c r="L22" s="21"/>
      <c r="M22" s="4"/>
    </row>
    <row r="23" spans="2:13" ht="23.25" customHeight="1">
      <c r="B23" s="17"/>
      <c r="C23" s="26"/>
      <c r="D23" s="24" t="s">
        <v>19</v>
      </c>
      <c r="E23" s="7">
        <v>1500</v>
      </c>
      <c r="F23" s="7">
        <v>1464</v>
      </c>
      <c r="G23" s="19" t="s">
        <v>91</v>
      </c>
      <c r="H23" s="8">
        <v>0.66666666666666663</v>
      </c>
      <c r="I23" s="8">
        <v>0.6875</v>
      </c>
      <c r="J23" s="9">
        <f t="shared" si="2"/>
        <v>2.083333333333337E-2</v>
      </c>
      <c r="K23" s="10">
        <f t="shared" si="3"/>
        <v>2.0491803278688561E-2</v>
      </c>
      <c r="L23" s="21"/>
      <c r="M23" s="4"/>
    </row>
    <row r="24" spans="2:13" ht="23.25" customHeight="1">
      <c r="B24" s="17"/>
      <c r="C24" s="26"/>
      <c r="D24" s="24" t="s">
        <v>20</v>
      </c>
      <c r="E24" s="7">
        <v>1500</v>
      </c>
      <c r="F24" s="7">
        <v>1464</v>
      </c>
      <c r="G24" s="19" t="s">
        <v>91</v>
      </c>
      <c r="H24" s="8">
        <v>0.6875</v>
      </c>
      <c r="I24" s="8">
        <v>0.70833333333333337</v>
      </c>
      <c r="J24" s="9">
        <f t="shared" si="2"/>
        <v>2.083333333333337E-2</v>
      </c>
      <c r="K24" s="10">
        <f t="shared" si="3"/>
        <v>2.0491803278688561E-2</v>
      </c>
      <c r="L24" s="21"/>
      <c r="M24" s="4"/>
    </row>
    <row r="25" spans="2:13" ht="23.25" customHeight="1">
      <c r="B25" s="17"/>
      <c r="C25" s="26"/>
      <c r="D25" s="24" t="s">
        <v>21</v>
      </c>
      <c r="E25" s="7">
        <v>1500</v>
      </c>
      <c r="F25" s="7">
        <v>1320</v>
      </c>
      <c r="G25" s="19" t="s">
        <v>91</v>
      </c>
      <c r="H25" s="8">
        <v>0.70833333333333337</v>
      </c>
      <c r="I25" s="8">
        <v>0.73958333333333337</v>
      </c>
      <c r="J25" s="9">
        <f t="shared" si="2"/>
        <v>3.125E-2</v>
      </c>
      <c r="K25" s="10">
        <f>IFERROR((J25*24*60)/F25,"")</f>
        <v>3.4090909090909088E-2</v>
      </c>
      <c r="L25" s="21"/>
      <c r="M25" s="4"/>
    </row>
    <row r="26" spans="2:13" ht="23.25" customHeight="1">
      <c r="B26" s="17"/>
      <c r="C26" s="26"/>
      <c r="D26" s="24" t="s">
        <v>28</v>
      </c>
      <c r="E26" s="7"/>
      <c r="F26" s="7">
        <v>1</v>
      </c>
      <c r="G26" s="19"/>
      <c r="H26" s="8"/>
      <c r="I26" s="8"/>
      <c r="J26" s="9"/>
      <c r="K26" s="20"/>
      <c r="L26" s="21"/>
      <c r="M26" s="4"/>
    </row>
    <row r="27" spans="2:13" ht="23.25" customHeight="1">
      <c r="B27" s="17"/>
      <c r="C27" s="26"/>
      <c r="D27" s="24" t="s">
        <v>29</v>
      </c>
      <c r="E27" s="7"/>
      <c r="F27" s="7">
        <v>10</v>
      </c>
      <c r="G27" s="19"/>
      <c r="H27" s="8"/>
      <c r="I27" s="8"/>
      <c r="J27" s="9"/>
      <c r="K27" s="20"/>
      <c r="L27" s="21"/>
      <c r="M27" s="4"/>
    </row>
    <row r="28" spans="2:13" ht="23.25" customHeight="1">
      <c r="B28" s="17"/>
      <c r="C28" s="26"/>
      <c r="D28" s="24" t="s">
        <v>30</v>
      </c>
      <c r="E28" s="24" t="s">
        <v>30</v>
      </c>
      <c r="F28" s="24" t="s">
        <v>30</v>
      </c>
      <c r="G28" s="19" t="s">
        <v>91</v>
      </c>
      <c r="H28" s="8">
        <v>0.73958333333333337</v>
      </c>
      <c r="I28" s="8">
        <v>0.75</v>
      </c>
      <c r="J28" s="9">
        <f t="shared" ref="J28:J34" si="4">I28-H28</f>
        <v>1.041666666666663E-2</v>
      </c>
      <c r="K28" s="10" t="str">
        <f t="shared" ref="K28:K34" si="5">IFERROR((J28*24*60)/F28,"")</f>
        <v/>
      </c>
      <c r="L28" s="21"/>
      <c r="M28" s="25" t="s">
        <v>51</v>
      </c>
    </row>
    <row r="29" spans="2:13" ht="23.25" customHeight="1">
      <c r="B29" s="17"/>
      <c r="C29" s="26" t="s">
        <v>108</v>
      </c>
      <c r="D29" s="24" t="s">
        <v>14</v>
      </c>
      <c r="E29" s="7">
        <v>1500</v>
      </c>
      <c r="F29" s="7">
        <v>1512</v>
      </c>
      <c r="G29" s="19" t="s">
        <v>91</v>
      </c>
      <c r="H29" s="8">
        <v>0.75</v>
      </c>
      <c r="I29" s="8">
        <v>0.77083333333333337</v>
      </c>
      <c r="J29" s="9">
        <f t="shared" si="4"/>
        <v>2.083333333333337E-2</v>
      </c>
      <c r="K29" s="10">
        <f t="shared" si="5"/>
        <v>1.9841269841269875E-2</v>
      </c>
      <c r="L29" s="21"/>
      <c r="M29" s="4"/>
    </row>
    <row r="30" spans="2:13" ht="23.25" customHeight="1">
      <c r="B30" s="17"/>
      <c r="C30" s="26"/>
      <c r="D30" s="24" t="s">
        <v>17</v>
      </c>
      <c r="E30" s="7">
        <v>1500</v>
      </c>
      <c r="F30" s="7">
        <v>1488</v>
      </c>
      <c r="G30" s="19" t="s">
        <v>91</v>
      </c>
      <c r="H30" s="8">
        <v>0.77083333333333337</v>
      </c>
      <c r="I30" s="8">
        <v>0.78819444444444442</v>
      </c>
      <c r="J30" s="9">
        <f t="shared" si="4"/>
        <v>1.7361111111111049E-2</v>
      </c>
      <c r="K30" s="10">
        <f t="shared" si="5"/>
        <v>1.6801075268817144E-2</v>
      </c>
      <c r="L30" s="21"/>
      <c r="M30" s="4"/>
    </row>
    <row r="31" spans="2:13" ht="23.25" customHeight="1">
      <c r="B31" s="17"/>
      <c r="C31" s="26"/>
      <c r="D31" s="24" t="s">
        <v>18</v>
      </c>
      <c r="E31" s="7">
        <v>1500</v>
      </c>
      <c r="F31" s="7">
        <v>1512</v>
      </c>
      <c r="G31" s="19" t="s">
        <v>91</v>
      </c>
      <c r="H31" s="8">
        <v>0.78819444444444442</v>
      </c>
      <c r="I31" s="8">
        <v>0.80902777777777779</v>
      </c>
      <c r="J31" s="9">
        <f t="shared" si="4"/>
        <v>2.083333333333337E-2</v>
      </c>
      <c r="K31" s="10">
        <f t="shared" si="5"/>
        <v>1.9841269841269875E-2</v>
      </c>
      <c r="L31" s="21"/>
      <c r="M31" s="4"/>
    </row>
    <row r="32" spans="2:13" ht="23.25" customHeight="1">
      <c r="B32" s="17"/>
      <c r="C32" s="26"/>
      <c r="D32" s="24" t="s">
        <v>19</v>
      </c>
      <c r="E32" s="7">
        <v>1500</v>
      </c>
      <c r="F32" s="7">
        <v>1512</v>
      </c>
      <c r="G32" s="19" t="s">
        <v>91</v>
      </c>
      <c r="H32" s="8">
        <v>0.80902777777777779</v>
      </c>
      <c r="I32" s="8">
        <v>0.82638888888888884</v>
      </c>
      <c r="J32" s="9">
        <f t="shared" si="4"/>
        <v>1.7361111111111049E-2</v>
      </c>
      <c r="K32" s="10">
        <f t="shared" si="5"/>
        <v>1.6534391534391474E-2</v>
      </c>
      <c r="L32" s="21"/>
      <c r="M32" s="4"/>
    </row>
    <row r="33" spans="2:13" ht="23.25" customHeight="1">
      <c r="B33" s="17"/>
      <c r="C33" s="26"/>
      <c r="D33" s="24" t="s">
        <v>20</v>
      </c>
      <c r="E33" s="7">
        <v>1500</v>
      </c>
      <c r="F33" s="7">
        <v>1512</v>
      </c>
      <c r="G33" s="19" t="s">
        <v>91</v>
      </c>
      <c r="H33" s="8">
        <v>0.82638888888888884</v>
      </c>
      <c r="I33" s="8">
        <v>0.84375</v>
      </c>
      <c r="J33" s="9">
        <f t="shared" si="4"/>
        <v>1.736111111111116E-2</v>
      </c>
      <c r="K33" s="10">
        <f t="shared" si="5"/>
        <v>1.6534391534391582E-2</v>
      </c>
      <c r="L33" s="21"/>
      <c r="M33" s="4"/>
    </row>
    <row r="34" spans="2:13" ht="23.25" customHeight="1">
      <c r="B34" s="17"/>
      <c r="C34" s="26"/>
      <c r="D34" s="24" t="s">
        <v>21</v>
      </c>
      <c r="E34" s="7">
        <v>1500</v>
      </c>
      <c r="F34" s="7">
        <v>1608</v>
      </c>
      <c r="G34" s="19" t="s">
        <v>91</v>
      </c>
      <c r="H34" s="8">
        <v>0.84375</v>
      </c>
      <c r="I34" s="8">
        <v>0.86111111111111116</v>
      </c>
      <c r="J34" s="9">
        <f t="shared" si="4"/>
        <v>1.736111111111116E-2</v>
      </c>
      <c r="K34" s="10">
        <f t="shared" si="5"/>
        <v>1.5547263681592084E-2</v>
      </c>
      <c r="L34" s="21"/>
      <c r="M34" s="4"/>
    </row>
    <row r="35" spans="2:13" ht="23.25" customHeight="1">
      <c r="B35" s="17"/>
      <c r="C35" s="26"/>
      <c r="D35" s="24" t="s">
        <v>28</v>
      </c>
      <c r="E35" s="7"/>
      <c r="F35" s="7">
        <v>14</v>
      </c>
      <c r="G35" s="19"/>
      <c r="H35" s="8"/>
      <c r="I35" s="8"/>
      <c r="J35" s="9"/>
      <c r="K35" s="20"/>
      <c r="L35" s="21"/>
      <c r="M35" s="4"/>
    </row>
    <row r="36" spans="2:13" ht="23.25" customHeight="1">
      <c r="B36" s="17"/>
      <c r="C36" s="26"/>
      <c r="D36" s="24" t="s">
        <v>29</v>
      </c>
      <c r="E36" s="7"/>
      <c r="F36" s="7">
        <v>8</v>
      </c>
      <c r="G36" s="19"/>
      <c r="H36" s="8"/>
      <c r="I36" s="8"/>
      <c r="J36" s="9"/>
      <c r="K36" s="20"/>
      <c r="L36" s="21"/>
      <c r="M36" s="4"/>
    </row>
    <row r="37" spans="2:13" ht="23.25" customHeight="1">
      <c r="B37" s="17"/>
      <c r="C37" s="26" t="s">
        <v>109</v>
      </c>
      <c r="D37" s="24" t="s">
        <v>30</v>
      </c>
      <c r="E37" s="7">
        <v>100</v>
      </c>
      <c r="F37" s="6">
        <v>0</v>
      </c>
      <c r="G37" s="7">
        <v>7</v>
      </c>
      <c r="H37" s="8">
        <v>0.66666666666666663</v>
      </c>
      <c r="I37" s="8">
        <v>0.75</v>
      </c>
      <c r="J37" s="9">
        <f t="shared" ref="J37" si="6">I37-H37</f>
        <v>8.333333333333337E-2</v>
      </c>
      <c r="K37" s="10" t="str">
        <f t="shared" ref="K37" si="7">IFERROR((J37*24*60)/F37,"")</f>
        <v/>
      </c>
      <c r="L37" s="4"/>
      <c r="M37" s="4"/>
    </row>
    <row r="38" spans="2:13" ht="24" customHeight="1">
      <c r="B38" s="42"/>
      <c r="C38" s="53"/>
      <c r="D38" s="36" t="s">
        <v>29</v>
      </c>
      <c r="E38" s="7"/>
      <c r="F38" s="7">
        <v>5</v>
      </c>
      <c r="G38" s="47"/>
      <c r="H38" s="48"/>
      <c r="I38" s="48"/>
      <c r="J38" s="49"/>
      <c r="K38" s="50"/>
      <c r="L38" s="51"/>
      <c r="M38" s="52"/>
    </row>
    <row r="39" spans="2:13" ht="24" customHeight="1">
      <c r="B39" s="42"/>
      <c r="C39" s="53"/>
      <c r="D39" s="36" t="s">
        <v>44</v>
      </c>
      <c r="E39" s="37"/>
      <c r="F39" s="45">
        <v>58</v>
      </c>
      <c r="G39" s="38"/>
      <c r="H39" s="39"/>
      <c r="I39" s="39"/>
      <c r="J39" s="40"/>
      <c r="K39" s="41"/>
      <c r="L39" s="42"/>
      <c r="M39" s="43"/>
    </row>
    <row r="40" spans="2:13" ht="24" customHeight="1">
      <c r="B40" s="42"/>
      <c r="C40" s="53" t="s">
        <v>110</v>
      </c>
      <c r="D40" s="24" t="s">
        <v>30</v>
      </c>
      <c r="E40" s="7">
        <v>100</v>
      </c>
      <c r="F40" s="45">
        <v>0</v>
      </c>
      <c r="G40" s="38" t="s">
        <v>22</v>
      </c>
      <c r="H40" s="8">
        <v>0.66666666666666663</v>
      </c>
      <c r="I40" s="8">
        <v>0.75</v>
      </c>
      <c r="J40" s="9">
        <f t="shared" ref="J40" si="8">I40-H40</f>
        <v>8.333333333333337E-2</v>
      </c>
      <c r="K40" s="41"/>
      <c r="L40" s="42"/>
      <c r="M40" s="43"/>
    </row>
    <row r="41" spans="2:13" ht="24" customHeight="1">
      <c r="B41" s="42"/>
      <c r="C41" s="53"/>
      <c r="D41" s="36" t="s">
        <v>29</v>
      </c>
      <c r="E41" s="7"/>
      <c r="F41" s="45">
        <v>5</v>
      </c>
      <c r="G41" s="38"/>
      <c r="H41" s="39"/>
      <c r="I41" s="39"/>
      <c r="J41" s="40"/>
      <c r="K41" s="41"/>
      <c r="L41" s="42"/>
      <c r="M41" s="43"/>
    </row>
    <row r="42" spans="2:13" ht="24" customHeight="1">
      <c r="B42" s="42"/>
      <c r="C42" s="53"/>
      <c r="D42" s="36" t="s">
        <v>44</v>
      </c>
      <c r="E42" s="37"/>
      <c r="F42" s="45">
        <v>59</v>
      </c>
      <c r="G42" s="38"/>
      <c r="H42" s="39"/>
      <c r="I42" s="39"/>
      <c r="J42" s="40"/>
      <c r="K42" s="41"/>
      <c r="L42" s="42"/>
      <c r="M42" s="43"/>
    </row>
    <row r="43" spans="2:13" ht="24" customHeight="1">
      <c r="B43" s="54"/>
      <c r="C43" s="28" t="s">
        <v>36</v>
      </c>
      <c r="D43" s="29"/>
      <c r="E43" s="30">
        <f>SUM(E4:E42)</f>
        <v>31200</v>
      </c>
      <c r="F43" s="46">
        <f>SUM(F4:F42)</f>
        <v>31453</v>
      </c>
      <c r="G43" s="42"/>
      <c r="H43" s="42"/>
      <c r="I43" s="44"/>
      <c r="J43" s="42"/>
      <c r="K43" s="42"/>
      <c r="L43" s="42"/>
      <c r="M43" s="42"/>
    </row>
    <row r="44" spans="2:13" ht="24" customHeight="1">
      <c r="C44" s="32"/>
      <c r="I44" s="31"/>
    </row>
    <row r="45" spans="2:13" ht="24" customHeight="1">
      <c r="B45" s="32"/>
      <c r="I45" s="31"/>
    </row>
    <row r="46" spans="2:13" ht="20.25" customHeight="1">
      <c r="I46" s="31"/>
    </row>
    <row r="47" spans="2:13" ht="20.25" customHeight="1">
      <c r="I47" s="31"/>
    </row>
    <row r="48" spans="2:13" ht="20.25" customHeight="1"/>
    <row r="49" spans="9:12" ht="20.25" customHeight="1"/>
    <row r="50" spans="9:12" ht="20.25" customHeight="1">
      <c r="L50" s="3" t="s">
        <v>37</v>
      </c>
    </row>
    <row r="51" spans="9:12" ht="20.25" customHeight="1"/>
    <row r="52" spans="9:12" ht="20.25" customHeight="1"/>
    <row r="53" spans="9:12" ht="21" customHeight="1"/>
    <row r="54" spans="9:12" ht="21" customHeight="1"/>
    <row r="55" spans="9:12" ht="18" customHeight="1"/>
    <row r="56" spans="9:12" ht="18" customHeight="1">
      <c r="I56" s="33"/>
    </row>
    <row r="57" spans="9:12" ht="18" customHeight="1"/>
    <row r="58" spans="9:12" ht="18" customHeight="1"/>
    <row r="59" spans="9:12" ht="18" customHeight="1"/>
    <row r="60" spans="9:12" ht="18" customHeight="1"/>
    <row r="61" spans="9:12" ht="18" customHeight="1"/>
    <row r="62" spans="9:12" ht="18" customHeight="1"/>
    <row r="63" spans="9:12" ht="18" customHeight="1"/>
    <row r="69" spans="2:13" s="34" customFormat="1" ht="27.6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</sheetData>
  <mergeCells count="11">
    <mergeCell ref="H2:I2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062D-4E8C-44DC-8300-0DF4AE716984}">
  <dimension ref="B2:M72"/>
  <sheetViews>
    <sheetView topLeftCell="C1" zoomScale="80" zoomScaleNormal="80" workbookViewId="0">
      <selection activeCell="M4" sqref="M4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2.710937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33.85546875" style="3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 t="s">
        <v>111</v>
      </c>
      <c r="C4" s="18" t="s">
        <v>112</v>
      </c>
      <c r="D4" s="24" t="s">
        <v>14</v>
      </c>
      <c r="E4" s="7">
        <v>1500</v>
      </c>
      <c r="F4" s="6">
        <v>1488</v>
      </c>
      <c r="G4" s="7">
        <v>56</v>
      </c>
      <c r="H4" s="8">
        <v>0.38541666666666669</v>
      </c>
      <c r="I4" s="8">
        <v>0.4375</v>
      </c>
      <c r="J4" s="9">
        <f>I4-H4</f>
        <v>5.2083333333333315E-2</v>
      </c>
      <c r="K4" s="10">
        <f>IFERROR((J4*24*60)/F4,"")</f>
        <v>5.0403225806451596E-2</v>
      </c>
      <c r="L4" s="25" t="s">
        <v>113</v>
      </c>
      <c r="M4" s="4" t="s">
        <v>114</v>
      </c>
    </row>
    <row r="5" spans="2:13" ht="21" customHeight="1">
      <c r="B5" s="22" t="s">
        <v>115</v>
      </c>
      <c r="C5" s="4"/>
      <c r="D5" s="24" t="s">
        <v>17</v>
      </c>
      <c r="E5" s="7">
        <v>1500</v>
      </c>
      <c r="F5" s="6">
        <v>1512</v>
      </c>
      <c r="G5" s="7">
        <v>56</v>
      </c>
      <c r="H5" s="8">
        <v>0.4375</v>
      </c>
      <c r="I5" s="8">
        <v>0.46180555555555558</v>
      </c>
      <c r="J5" s="9">
        <f>I5-H5</f>
        <v>2.430555555555558E-2</v>
      </c>
      <c r="K5" s="10">
        <f t="shared" ref="K5:K8" si="0">IFERROR((J5*24*60)/F5,"")</f>
        <v>2.3148148148148171E-2</v>
      </c>
      <c r="L5" s="12"/>
      <c r="M5" s="4"/>
    </row>
    <row r="6" spans="2:13" ht="21" customHeight="1">
      <c r="B6" s="4"/>
      <c r="C6" s="4"/>
      <c r="D6" s="24" t="s">
        <v>18</v>
      </c>
      <c r="E6" s="7">
        <v>1500</v>
      </c>
      <c r="F6" s="6">
        <v>1584</v>
      </c>
      <c r="G6" s="7">
        <v>56</v>
      </c>
      <c r="H6" s="8">
        <v>0.46180555555555558</v>
      </c>
      <c r="I6" s="8">
        <v>0.48958333333333331</v>
      </c>
      <c r="J6" s="9">
        <f>I6-H6</f>
        <v>2.7777777777777735E-2</v>
      </c>
      <c r="K6" s="10">
        <f t="shared" si="0"/>
        <v>2.525252525252521E-2</v>
      </c>
      <c r="L6" s="4"/>
      <c r="M6" s="4"/>
    </row>
    <row r="7" spans="2:13" ht="21" customHeight="1">
      <c r="B7" s="4"/>
      <c r="C7" s="4"/>
      <c r="D7" s="24" t="s">
        <v>19</v>
      </c>
      <c r="E7" s="7">
        <v>1500</v>
      </c>
      <c r="F7" s="6">
        <v>1584</v>
      </c>
      <c r="G7" s="7">
        <v>54</v>
      </c>
      <c r="H7" s="8">
        <v>0.48958333333333331</v>
      </c>
      <c r="I7" s="8">
        <v>0.51736111111111116</v>
      </c>
      <c r="J7" s="9">
        <f t="shared" ref="J7:J8" si="1">I7-H7</f>
        <v>2.7777777777777846E-2</v>
      </c>
      <c r="K7" s="10">
        <f t="shared" si="0"/>
        <v>2.5252525252525315E-2</v>
      </c>
      <c r="L7" s="4"/>
      <c r="M7" s="4" t="s">
        <v>116</v>
      </c>
    </row>
    <row r="8" spans="2:13" ht="21" customHeight="1">
      <c r="B8" s="4"/>
      <c r="C8" s="4"/>
      <c r="D8" s="24" t="s">
        <v>117</v>
      </c>
      <c r="E8" s="7">
        <v>2250</v>
      </c>
      <c r="F8" s="6">
        <v>2472</v>
      </c>
      <c r="G8" s="7">
        <v>54</v>
      </c>
      <c r="H8" s="8">
        <v>0.51736111111111116</v>
      </c>
      <c r="I8" s="8">
        <v>0.5625</v>
      </c>
      <c r="J8" s="9">
        <f t="shared" si="1"/>
        <v>4.513888888888884E-2</v>
      </c>
      <c r="K8" s="10">
        <f t="shared" si="0"/>
        <v>2.6294498381876995E-2</v>
      </c>
      <c r="L8" s="4"/>
      <c r="M8" s="4"/>
    </row>
    <row r="9" spans="2:13" ht="21" customHeight="1">
      <c r="B9" s="4"/>
      <c r="C9" s="4"/>
      <c r="D9" s="24" t="s">
        <v>28</v>
      </c>
      <c r="E9" s="7"/>
      <c r="F9" s="7">
        <v>11</v>
      </c>
      <c r="G9" s="19"/>
      <c r="H9" s="8"/>
      <c r="I9" s="8"/>
      <c r="J9" s="9"/>
      <c r="K9" s="10"/>
      <c r="L9" s="4"/>
      <c r="M9" s="4"/>
    </row>
    <row r="10" spans="2:13" ht="23.25" customHeight="1">
      <c r="B10" s="17"/>
      <c r="C10" s="26"/>
      <c r="D10" s="24" t="s">
        <v>29</v>
      </c>
      <c r="E10" s="7"/>
      <c r="F10" s="7">
        <v>8</v>
      </c>
      <c r="G10" s="19"/>
      <c r="H10" s="8"/>
      <c r="I10" s="8"/>
      <c r="J10" s="9"/>
      <c r="K10" s="20"/>
      <c r="L10" s="21"/>
      <c r="M10" s="4"/>
    </row>
    <row r="11" spans="2:13" ht="23.25" customHeight="1">
      <c r="B11" s="17"/>
      <c r="C11" s="26" t="s">
        <v>118</v>
      </c>
      <c r="D11" s="24" t="s">
        <v>14</v>
      </c>
      <c r="E11" s="7">
        <v>1000</v>
      </c>
      <c r="F11" s="7">
        <v>960</v>
      </c>
      <c r="G11" s="19" t="s">
        <v>83</v>
      </c>
      <c r="H11" s="8">
        <v>0.56944444444444442</v>
      </c>
      <c r="I11" s="8">
        <v>0.64583333333333337</v>
      </c>
      <c r="J11" s="9">
        <f t="shared" ref="J11:J15" si="2">I11-H11</f>
        <v>7.6388888888888951E-2</v>
      </c>
      <c r="K11" s="10">
        <f t="shared" ref="K11:K15" si="3">IFERROR((J11*24*60)/F11,"")</f>
        <v>0.11458333333333343</v>
      </c>
      <c r="L11" s="21"/>
      <c r="M11" s="4" t="s">
        <v>119</v>
      </c>
    </row>
    <row r="12" spans="2:13" ht="23.25" customHeight="1">
      <c r="B12" s="17"/>
      <c r="C12" s="26"/>
      <c r="D12" s="24" t="s">
        <v>17</v>
      </c>
      <c r="E12" s="7">
        <v>1000</v>
      </c>
      <c r="F12" s="7">
        <v>1040</v>
      </c>
      <c r="G12" s="19" t="s">
        <v>120</v>
      </c>
      <c r="H12" s="8">
        <v>0.64583333333333337</v>
      </c>
      <c r="I12" s="8">
        <v>0.70138888888888884</v>
      </c>
      <c r="J12" s="9">
        <f t="shared" si="2"/>
        <v>5.5555555555555469E-2</v>
      </c>
      <c r="K12" s="10">
        <f t="shared" si="3"/>
        <v>7.6923076923076802E-2</v>
      </c>
      <c r="L12" s="21"/>
      <c r="M12" s="4" t="s">
        <v>121</v>
      </c>
    </row>
    <row r="13" spans="2:13" ht="23.25" customHeight="1">
      <c r="B13" s="17"/>
      <c r="C13" s="26"/>
      <c r="D13" s="24" t="s">
        <v>18</v>
      </c>
      <c r="E13" s="7">
        <v>1000</v>
      </c>
      <c r="F13" s="7">
        <v>1000</v>
      </c>
      <c r="G13" s="19" t="s">
        <v>27</v>
      </c>
      <c r="H13" s="8">
        <v>0.70138888888888884</v>
      </c>
      <c r="I13" s="8">
        <v>0.76388888888888884</v>
      </c>
      <c r="J13" s="9">
        <f t="shared" si="2"/>
        <v>6.25E-2</v>
      </c>
      <c r="K13" s="10">
        <f t="shared" si="3"/>
        <v>0.09</v>
      </c>
      <c r="L13" s="21"/>
      <c r="M13" s="248" t="s">
        <v>122</v>
      </c>
    </row>
    <row r="14" spans="2:13" ht="23.25" customHeight="1">
      <c r="B14" s="17"/>
      <c r="C14" s="26"/>
      <c r="D14" s="24" t="s">
        <v>19</v>
      </c>
      <c r="E14" s="7">
        <v>1000</v>
      </c>
      <c r="F14" s="7">
        <v>1000</v>
      </c>
      <c r="G14" s="19" t="s">
        <v>27</v>
      </c>
      <c r="H14" s="8">
        <v>0.76388888888888884</v>
      </c>
      <c r="I14" s="8">
        <v>0.80208333333333337</v>
      </c>
      <c r="J14" s="9">
        <f t="shared" si="2"/>
        <v>3.8194444444444531E-2</v>
      </c>
      <c r="K14" s="10">
        <f t="shared" si="3"/>
        <v>5.5000000000000125E-2</v>
      </c>
      <c r="L14" s="21"/>
      <c r="M14" s="249"/>
    </row>
    <row r="15" spans="2:13" ht="23.25" customHeight="1">
      <c r="B15" s="17"/>
      <c r="C15" s="26"/>
      <c r="D15" s="24" t="s">
        <v>20</v>
      </c>
      <c r="E15" s="7">
        <v>1000</v>
      </c>
      <c r="F15" s="7">
        <v>960</v>
      </c>
      <c r="G15" s="19" t="s">
        <v>27</v>
      </c>
      <c r="H15" s="8">
        <v>0.80208333333333337</v>
      </c>
      <c r="I15" s="8">
        <v>0.84027777777777779</v>
      </c>
      <c r="J15" s="9">
        <f t="shared" si="2"/>
        <v>3.819444444444442E-2</v>
      </c>
      <c r="K15" s="10">
        <f t="shared" si="3"/>
        <v>5.729166666666663E-2</v>
      </c>
      <c r="L15" s="21"/>
      <c r="M15" s="250"/>
    </row>
    <row r="16" spans="2:13" ht="23.25" customHeight="1">
      <c r="B16" s="17"/>
      <c r="C16" s="26"/>
      <c r="D16" s="24" t="s">
        <v>28</v>
      </c>
      <c r="E16" s="7"/>
      <c r="F16" s="7">
        <v>13</v>
      </c>
      <c r="G16" s="19"/>
      <c r="H16" s="8"/>
      <c r="I16" s="8"/>
      <c r="J16" s="9"/>
      <c r="K16" s="20"/>
      <c r="L16" s="21"/>
      <c r="M16" s="4"/>
    </row>
    <row r="17" spans="2:13" ht="23.25" customHeight="1">
      <c r="B17" s="17"/>
      <c r="C17" s="26"/>
      <c r="D17" s="24" t="s">
        <v>29</v>
      </c>
      <c r="E17" s="7"/>
      <c r="F17" s="7">
        <v>8</v>
      </c>
      <c r="G17" s="19"/>
      <c r="H17" s="8"/>
      <c r="I17" s="8"/>
      <c r="J17" s="9"/>
      <c r="K17" s="20"/>
      <c r="L17" s="21"/>
      <c r="M17" s="4"/>
    </row>
    <row r="18" spans="2:13" ht="23.25" customHeight="1">
      <c r="B18" s="17"/>
      <c r="C18" s="26"/>
      <c r="D18" s="24" t="s">
        <v>30</v>
      </c>
      <c r="E18" s="24" t="s">
        <v>30</v>
      </c>
      <c r="F18" s="24" t="s">
        <v>30</v>
      </c>
      <c r="G18" s="19" t="s">
        <v>26</v>
      </c>
      <c r="H18" s="8">
        <v>0.5625</v>
      </c>
      <c r="I18" s="8">
        <v>0.60416666666666696</v>
      </c>
      <c r="J18" s="9">
        <f t="shared" ref="J18:J24" si="4">I18-H18</f>
        <v>4.1666666666666963E-2</v>
      </c>
      <c r="K18" s="10" t="str">
        <f t="shared" ref="K18:K24" si="5">IFERROR((J18*24*60)/F18,"")</f>
        <v/>
      </c>
      <c r="L18" s="21"/>
      <c r="M18" s="25" t="s">
        <v>51</v>
      </c>
    </row>
    <row r="19" spans="2:13" ht="23.25" customHeight="1">
      <c r="B19" s="17"/>
      <c r="C19" s="26" t="s">
        <v>123</v>
      </c>
      <c r="D19" s="24" t="s">
        <v>14</v>
      </c>
      <c r="E19" s="7">
        <v>1000</v>
      </c>
      <c r="F19" s="7">
        <v>1000</v>
      </c>
      <c r="G19" s="19" t="s">
        <v>124</v>
      </c>
      <c r="H19" s="8">
        <v>0.62152777777777779</v>
      </c>
      <c r="I19" s="8">
        <v>0.64236111111111116</v>
      </c>
      <c r="J19" s="9">
        <f>I19-H19</f>
        <v>2.083333333333337E-2</v>
      </c>
      <c r="K19" s="10">
        <f t="shared" si="5"/>
        <v>3.0000000000000054E-2</v>
      </c>
      <c r="L19" s="21"/>
      <c r="M19" s="4"/>
    </row>
    <row r="20" spans="2:13" ht="23.25" customHeight="1">
      <c r="B20" s="17"/>
      <c r="C20" s="26"/>
      <c r="D20" s="24" t="s">
        <v>17</v>
      </c>
      <c r="E20" s="7">
        <v>1000</v>
      </c>
      <c r="F20" s="7">
        <v>1000</v>
      </c>
      <c r="G20" s="19" t="s">
        <v>125</v>
      </c>
      <c r="H20" s="8">
        <v>0.64236111111111116</v>
      </c>
      <c r="I20" s="8">
        <v>0.65625</v>
      </c>
      <c r="J20" s="9">
        <f>I20-H20</f>
        <v>1.388888888888884E-2</v>
      </c>
      <c r="K20" s="10">
        <f t="shared" si="5"/>
        <v>1.9999999999999928E-2</v>
      </c>
      <c r="L20" s="21"/>
      <c r="M20" s="4"/>
    </row>
    <row r="21" spans="2:13" ht="23.25" customHeight="1">
      <c r="B21" s="17"/>
      <c r="C21" s="26"/>
      <c r="D21" s="24" t="s">
        <v>18</v>
      </c>
      <c r="E21" s="7">
        <v>1000</v>
      </c>
      <c r="F21" s="7">
        <v>1000</v>
      </c>
      <c r="G21" s="19" t="s">
        <v>95</v>
      </c>
      <c r="H21" s="8">
        <v>0.65625</v>
      </c>
      <c r="I21" s="8">
        <v>0.67013888888888884</v>
      </c>
      <c r="J21" s="9">
        <f t="shared" si="4"/>
        <v>1.388888888888884E-2</v>
      </c>
      <c r="K21" s="10">
        <f t="shared" si="5"/>
        <v>1.9999999999999928E-2</v>
      </c>
      <c r="L21" s="21"/>
      <c r="M21" s="4"/>
    </row>
    <row r="22" spans="2:13" ht="23.25" customHeight="1">
      <c r="B22" s="17"/>
      <c r="C22" s="26"/>
      <c r="D22" s="24" t="s">
        <v>19</v>
      </c>
      <c r="E22" s="7">
        <v>1000</v>
      </c>
      <c r="F22" s="7">
        <v>1000</v>
      </c>
      <c r="G22" s="19" t="s">
        <v>95</v>
      </c>
      <c r="H22" s="8">
        <v>0.67013888888888884</v>
      </c>
      <c r="I22" s="8">
        <v>0.68055555555555558</v>
      </c>
      <c r="J22" s="9">
        <f t="shared" si="4"/>
        <v>1.0416666666666741E-2</v>
      </c>
      <c r="K22" s="10">
        <f t="shared" si="5"/>
        <v>1.5000000000000107E-2</v>
      </c>
      <c r="L22" s="21"/>
      <c r="M22" s="4"/>
    </row>
    <row r="23" spans="2:13" ht="23.25" customHeight="1">
      <c r="B23" s="17"/>
      <c r="C23" s="26"/>
      <c r="D23" s="24" t="s">
        <v>20</v>
      </c>
      <c r="E23" s="7">
        <v>1000</v>
      </c>
      <c r="F23" s="7">
        <v>1000</v>
      </c>
      <c r="G23" s="19" t="s">
        <v>95</v>
      </c>
      <c r="H23" s="8">
        <v>0.68055555555555558</v>
      </c>
      <c r="I23" s="8">
        <v>0.69097222222222221</v>
      </c>
      <c r="J23" s="9">
        <f t="shared" si="4"/>
        <v>1.041666666666663E-2</v>
      </c>
      <c r="K23" s="10">
        <f t="shared" si="5"/>
        <v>1.4999999999999947E-2</v>
      </c>
      <c r="L23" s="21"/>
      <c r="M23" s="4"/>
    </row>
    <row r="24" spans="2:13" ht="23.25" customHeight="1">
      <c r="B24" s="17"/>
      <c r="C24" s="26"/>
      <c r="D24" s="24" t="s">
        <v>21</v>
      </c>
      <c r="E24" s="7">
        <v>1000</v>
      </c>
      <c r="F24" s="7">
        <v>1000</v>
      </c>
      <c r="G24" s="19" t="s">
        <v>95</v>
      </c>
      <c r="H24" s="8">
        <v>0.69097222222222221</v>
      </c>
      <c r="I24" s="8">
        <v>0.70138888888888884</v>
      </c>
      <c r="J24" s="9">
        <f t="shared" si="4"/>
        <v>1.041666666666663E-2</v>
      </c>
      <c r="K24" s="10">
        <f t="shared" si="5"/>
        <v>1.4999999999999947E-2</v>
      </c>
      <c r="L24" s="21"/>
      <c r="M24" s="4"/>
    </row>
    <row r="25" spans="2:13" ht="23.25" customHeight="1">
      <c r="B25" s="17"/>
      <c r="C25" s="26"/>
      <c r="D25" s="24" t="s">
        <v>22</v>
      </c>
      <c r="E25" s="7">
        <v>1000</v>
      </c>
      <c r="F25" s="7">
        <v>1000</v>
      </c>
      <c r="G25" s="19" t="s">
        <v>73</v>
      </c>
      <c r="H25" s="8">
        <v>0.70138888888888884</v>
      </c>
      <c r="I25" s="8">
        <v>0.71180555555555558</v>
      </c>
      <c r="J25" s="9">
        <f t="shared" ref="J25:J40" si="6">I25-H25</f>
        <v>1.0416666666666741E-2</v>
      </c>
      <c r="K25" s="10">
        <f t="shared" ref="K25:K40" si="7">IFERROR((J25*24*60)/F25,"")</f>
        <v>1.5000000000000107E-2</v>
      </c>
      <c r="L25" s="21"/>
      <c r="M25" s="4"/>
    </row>
    <row r="26" spans="2:13" ht="23.25" customHeight="1">
      <c r="B26" s="17"/>
      <c r="C26" s="26"/>
      <c r="D26" s="24" t="s">
        <v>23</v>
      </c>
      <c r="E26" s="7">
        <v>1000</v>
      </c>
      <c r="F26" s="7">
        <v>1000</v>
      </c>
      <c r="G26" s="19" t="s">
        <v>73</v>
      </c>
      <c r="H26" s="8">
        <v>0.71180555555555558</v>
      </c>
      <c r="I26" s="8">
        <v>0.72222222222222221</v>
      </c>
      <c r="J26" s="9">
        <f t="shared" si="6"/>
        <v>1.041666666666663E-2</v>
      </c>
      <c r="K26" s="10">
        <f t="shared" si="7"/>
        <v>1.4999999999999947E-2</v>
      </c>
      <c r="L26" s="21"/>
      <c r="M26" s="4"/>
    </row>
    <row r="27" spans="2:13" ht="23.25" customHeight="1">
      <c r="B27" s="17"/>
      <c r="C27" s="26"/>
      <c r="D27" s="24" t="s">
        <v>24</v>
      </c>
      <c r="E27" s="7">
        <v>1000</v>
      </c>
      <c r="F27" s="7">
        <v>960</v>
      </c>
      <c r="G27" s="19" t="s">
        <v>73</v>
      </c>
      <c r="H27" s="8">
        <v>0.72222222222222221</v>
      </c>
      <c r="I27" s="8">
        <v>0.73263888888888884</v>
      </c>
      <c r="J27" s="9">
        <f t="shared" si="6"/>
        <v>1.041666666666663E-2</v>
      </c>
      <c r="K27" s="10">
        <f t="shared" si="7"/>
        <v>1.5624999999999944E-2</v>
      </c>
      <c r="L27" s="21"/>
      <c r="M27" s="4"/>
    </row>
    <row r="28" spans="2:13" ht="23.25" customHeight="1">
      <c r="B28" s="17"/>
      <c r="C28" s="26"/>
      <c r="D28" s="24" t="s">
        <v>25</v>
      </c>
      <c r="E28" s="7">
        <v>1000</v>
      </c>
      <c r="F28" s="7">
        <v>960</v>
      </c>
      <c r="G28" s="19" t="s">
        <v>73</v>
      </c>
      <c r="H28" s="8">
        <v>0.73263888888888884</v>
      </c>
      <c r="I28" s="8">
        <v>0.74652777777777779</v>
      </c>
      <c r="J28" s="9">
        <f t="shared" si="6"/>
        <v>1.3888888888888951E-2</v>
      </c>
      <c r="K28" s="10">
        <f t="shared" si="7"/>
        <v>2.0833333333333426E-2</v>
      </c>
      <c r="L28" s="21"/>
      <c r="M28" s="4"/>
    </row>
    <row r="29" spans="2:13" ht="23.25" customHeight="1">
      <c r="B29" s="17"/>
      <c r="C29" s="26"/>
      <c r="D29" s="24" t="s">
        <v>26</v>
      </c>
      <c r="E29" s="7">
        <v>1000</v>
      </c>
      <c r="F29" s="7">
        <v>1000</v>
      </c>
      <c r="G29" s="19" t="s">
        <v>73</v>
      </c>
      <c r="H29" s="8">
        <v>0.74652777777777779</v>
      </c>
      <c r="I29" s="8">
        <v>0.76041666666666663</v>
      </c>
      <c r="J29" s="9">
        <f t="shared" si="6"/>
        <v>1.388888888888884E-2</v>
      </c>
      <c r="K29" s="10">
        <f t="shared" si="7"/>
        <v>1.9999999999999928E-2</v>
      </c>
      <c r="L29" s="21"/>
      <c r="M29" s="4"/>
    </row>
    <row r="30" spans="2:13" ht="23.25" customHeight="1">
      <c r="B30" s="17"/>
      <c r="C30" s="26"/>
      <c r="D30" s="24" t="s">
        <v>27</v>
      </c>
      <c r="E30" s="7">
        <v>1000</v>
      </c>
      <c r="F30" s="7">
        <v>1080</v>
      </c>
      <c r="G30" s="19" t="s">
        <v>73</v>
      </c>
      <c r="H30" s="8">
        <v>0.76041666666666663</v>
      </c>
      <c r="I30" s="8">
        <v>0.77777777777777779</v>
      </c>
      <c r="J30" s="9">
        <f t="shared" si="6"/>
        <v>1.736111111111116E-2</v>
      </c>
      <c r="K30" s="10">
        <f t="shared" si="7"/>
        <v>2.3148148148148213E-2</v>
      </c>
      <c r="L30" s="21"/>
      <c r="M30" s="4"/>
    </row>
    <row r="31" spans="2:13" ht="23.25" customHeight="1">
      <c r="B31" s="17"/>
      <c r="C31" s="26"/>
      <c r="D31" s="24" t="s">
        <v>49</v>
      </c>
      <c r="E31" s="7">
        <v>1000</v>
      </c>
      <c r="F31" s="7">
        <v>1000</v>
      </c>
      <c r="G31" s="19" t="s">
        <v>73</v>
      </c>
      <c r="H31" s="8">
        <v>0.77777777777777779</v>
      </c>
      <c r="I31" s="8">
        <v>0.79513888888888884</v>
      </c>
      <c r="J31" s="9">
        <f t="shared" si="6"/>
        <v>1.7361111111111049E-2</v>
      </c>
      <c r="K31" s="10">
        <f t="shared" si="7"/>
        <v>2.4999999999999911E-2</v>
      </c>
      <c r="L31" s="21"/>
      <c r="M31" s="4"/>
    </row>
    <row r="32" spans="2:13" ht="23.25" customHeight="1">
      <c r="B32" s="17"/>
      <c r="C32" s="26"/>
      <c r="D32" s="24" t="s">
        <v>50</v>
      </c>
      <c r="E32" s="7">
        <v>1000</v>
      </c>
      <c r="F32" s="7">
        <v>1000</v>
      </c>
      <c r="G32" s="19" t="s">
        <v>73</v>
      </c>
      <c r="H32" s="8">
        <v>0.79513888888888884</v>
      </c>
      <c r="I32" s="8">
        <v>0.80902777777777779</v>
      </c>
      <c r="J32" s="9">
        <f t="shared" si="6"/>
        <v>1.3888888888888951E-2</v>
      </c>
      <c r="K32" s="10">
        <f t="shared" si="7"/>
        <v>2.0000000000000087E-2</v>
      </c>
      <c r="L32" s="21"/>
      <c r="M32" s="4"/>
    </row>
    <row r="33" spans="2:13" ht="23.25" customHeight="1">
      <c r="B33" s="17"/>
      <c r="C33" s="26"/>
      <c r="D33" s="24" t="s">
        <v>52</v>
      </c>
      <c r="E33" s="7">
        <v>1000</v>
      </c>
      <c r="F33" s="7">
        <v>1000</v>
      </c>
      <c r="G33" s="19" t="s">
        <v>73</v>
      </c>
      <c r="H33" s="8">
        <v>0.80902777777777779</v>
      </c>
      <c r="I33" s="8">
        <v>0.82291666666666663</v>
      </c>
      <c r="J33" s="9">
        <f t="shared" si="6"/>
        <v>1.388888888888884E-2</v>
      </c>
      <c r="K33" s="10">
        <f t="shared" si="7"/>
        <v>1.9999999999999928E-2</v>
      </c>
      <c r="L33" s="21"/>
      <c r="M33" s="4"/>
    </row>
    <row r="34" spans="2:13" ht="23.25" customHeight="1">
      <c r="B34" s="17"/>
      <c r="C34" s="26"/>
      <c r="D34" s="24" t="s">
        <v>54</v>
      </c>
      <c r="E34" s="7">
        <v>1000</v>
      </c>
      <c r="F34" s="7">
        <v>960</v>
      </c>
      <c r="G34" s="19" t="s">
        <v>73</v>
      </c>
      <c r="H34" s="8">
        <v>0.82291666666666663</v>
      </c>
      <c r="I34" s="8">
        <v>0.83680555555555558</v>
      </c>
      <c r="J34" s="9">
        <f t="shared" si="6"/>
        <v>1.3888888888888951E-2</v>
      </c>
      <c r="K34" s="10">
        <f t="shared" si="7"/>
        <v>2.0833333333333426E-2</v>
      </c>
      <c r="L34" s="21"/>
      <c r="M34" s="4"/>
    </row>
    <row r="35" spans="2:13" ht="23.25" customHeight="1">
      <c r="B35" s="17"/>
      <c r="C35" s="26"/>
      <c r="D35" s="24" t="s">
        <v>55</v>
      </c>
      <c r="E35" s="7">
        <v>1000</v>
      </c>
      <c r="F35" s="7">
        <v>1000</v>
      </c>
      <c r="G35" s="19" t="s">
        <v>73</v>
      </c>
      <c r="H35" s="8">
        <v>0.83680555555555558</v>
      </c>
      <c r="I35" s="8">
        <v>0.85069444444444442</v>
      </c>
      <c r="J35" s="9">
        <f t="shared" si="6"/>
        <v>1.388888888888884E-2</v>
      </c>
      <c r="K35" s="10">
        <f t="shared" si="7"/>
        <v>1.9999999999999928E-2</v>
      </c>
      <c r="L35" s="21"/>
      <c r="M35" s="4"/>
    </row>
    <row r="36" spans="2:13" ht="23.25" customHeight="1">
      <c r="B36" s="17"/>
      <c r="C36" s="26"/>
      <c r="D36" s="24" t="s">
        <v>83</v>
      </c>
      <c r="E36" s="7">
        <v>1000</v>
      </c>
      <c r="F36" s="7">
        <v>1000</v>
      </c>
      <c r="G36" s="19" t="s">
        <v>73</v>
      </c>
      <c r="H36" s="8">
        <v>0.85069444444444442</v>
      </c>
      <c r="I36" s="8">
        <v>0.86805555555555558</v>
      </c>
      <c r="J36" s="9">
        <f t="shared" si="6"/>
        <v>1.736111111111116E-2</v>
      </c>
      <c r="K36" s="10">
        <f t="shared" si="7"/>
        <v>2.5000000000000071E-2</v>
      </c>
      <c r="L36" s="21"/>
      <c r="M36" s="4"/>
    </row>
    <row r="37" spans="2:13" ht="23.25" customHeight="1">
      <c r="B37" s="17"/>
      <c r="C37" s="26"/>
      <c r="D37" s="24" t="s">
        <v>28</v>
      </c>
      <c r="E37" s="7"/>
      <c r="F37" s="7">
        <v>0</v>
      </c>
      <c r="G37" s="19"/>
      <c r="H37" s="8"/>
      <c r="I37" s="8"/>
      <c r="J37" s="9"/>
      <c r="K37" s="10"/>
      <c r="L37" s="21"/>
      <c r="M37" s="4"/>
    </row>
    <row r="38" spans="2:13" ht="23.25" customHeight="1">
      <c r="B38" s="17"/>
      <c r="C38" s="26"/>
      <c r="D38" s="24" t="s">
        <v>29</v>
      </c>
      <c r="E38" s="7"/>
      <c r="F38" s="7">
        <v>20</v>
      </c>
      <c r="G38" s="19"/>
      <c r="H38" s="8"/>
      <c r="I38" s="8"/>
      <c r="J38" s="9"/>
      <c r="K38" s="10"/>
      <c r="L38" s="21"/>
      <c r="M38" s="4"/>
    </row>
    <row r="39" spans="2:13" ht="23.25" customHeight="1">
      <c r="B39" s="17"/>
      <c r="C39" s="26" t="s">
        <v>126</v>
      </c>
      <c r="D39" s="24" t="s">
        <v>14</v>
      </c>
      <c r="E39" s="7">
        <v>1000</v>
      </c>
      <c r="F39" s="7">
        <v>1000</v>
      </c>
      <c r="G39" s="19" t="s">
        <v>73</v>
      </c>
      <c r="H39" s="8">
        <v>0.86805555555555558</v>
      </c>
      <c r="I39" s="8">
        <v>0.88194444444444442</v>
      </c>
      <c r="J39" s="9">
        <f t="shared" si="6"/>
        <v>1.388888888888884E-2</v>
      </c>
      <c r="K39" s="10">
        <f t="shared" si="7"/>
        <v>1.9999999999999928E-2</v>
      </c>
      <c r="L39" s="21"/>
      <c r="M39" s="4"/>
    </row>
    <row r="40" spans="2:13" ht="23.25" customHeight="1">
      <c r="B40" s="17"/>
      <c r="C40" s="26"/>
      <c r="D40" s="24" t="s">
        <v>17</v>
      </c>
      <c r="E40" s="7">
        <v>1000</v>
      </c>
      <c r="F40" s="7">
        <v>760</v>
      </c>
      <c r="G40" s="19" t="s">
        <v>73</v>
      </c>
      <c r="H40" s="8">
        <v>0.88194444444444442</v>
      </c>
      <c r="I40" s="8">
        <v>0.88888888888888884</v>
      </c>
      <c r="J40" s="9">
        <f t="shared" si="6"/>
        <v>6.9444444444444198E-3</v>
      </c>
      <c r="K40" s="10">
        <f t="shared" si="7"/>
        <v>1.3157894736842058E-2</v>
      </c>
      <c r="L40" s="21"/>
      <c r="M40" s="4"/>
    </row>
    <row r="41" spans="2:13" ht="23.25" customHeight="1">
      <c r="B41" s="17"/>
      <c r="C41" s="26"/>
      <c r="D41" s="24" t="s">
        <v>28</v>
      </c>
      <c r="E41" s="7"/>
      <c r="F41" s="7">
        <v>4</v>
      </c>
      <c r="G41" s="19"/>
      <c r="H41" s="8"/>
      <c r="I41" s="8"/>
      <c r="J41" s="9"/>
      <c r="K41" s="20"/>
      <c r="L41" s="21"/>
      <c r="M41" s="4"/>
    </row>
    <row r="42" spans="2:13" ht="23.25" customHeight="1">
      <c r="B42" s="17"/>
      <c r="C42" s="26"/>
      <c r="D42" s="24" t="s">
        <v>29</v>
      </c>
      <c r="E42" s="7"/>
      <c r="F42" s="7">
        <v>37</v>
      </c>
      <c r="G42" s="19"/>
      <c r="H42" s="8"/>
      <c r="I42" s="8"/>
      <c r="J42" s="9"/>
      <c r="K42" s="20"/>
      <c r="L42" s="21"/>
      <c r="M42" s="4"/>
    </row>
    <row r="43" spans="2:13" ht="23.25" customHeight="1">
      <c r="B43" s="17"/>
      <c r="C43" s="26" t="s">
        <v>127</v>
      </c>
      <c r="D43" s="24" t="s">
        <v>30</v>
      </c>
      <c r="E43" s="7">
        <v>100</v>
      </c>
      <c r="F43" s="6">
        <v>0</v>
      </c>
      <c r="G43" s="7">
        <v>7</v>
      </c>
      <c r="H43" s="8">
        <v>0.61805555555555558</v>
      </c>
      <c r="I43" s="8">
        <v>0.69444444444444442</v>
      </c>
      <c r="J43" s="9">
        <f t="shared" ref="J43" si="8">I43-H43</f>
        <v>7.638888888888884E-2</v>
      </c>
      <c r="K43" s="10" t="str">
        <f t="shared" ref="K43" si="9">IFERROR((J43*24*60)/F43,"")</f>
        <v/>
      </c>
      <c r="L43" s="4"/>
      <c r="M43" s="4"/>
    </row>
    <row r="44" spans="2:13" ht="24" customHeight="1">
      <c r="B44" s="42"/>
      <c r="C44" s="53"/>
      <c r="D44" s="36" t="s">
        <v>29</v>
      </c>
      <c r="E44" s="7"/>
      <c r="F44" s="7">
        <v>6</v>
      </c>
      <c r="G44" s="47"/>
      <c r="H44" s="48"/>
      <c r="I44" s="48"/>
      <c r="J44" s="49"/>
      <c r="K44" s="50"/>
      <c r="L44" s="51"/>
      <c r="M44" s="52"/>
    </row>
    <row r="45" spans="2:13" ht="24" customHeight="1">
      <c r="B45" s="42"/>
      <c r="C45" s="53"/>
      <c r="D45" s="36" t="s">
        <v>44</v>
      </c>
      <c r="E45" s="37"/>
      <c r="F45" s="45">
        <v>71</v>
      </c>
      <c r="G45" s="38"/>
      <c r="H45" s="39"/>
      <c r="I45" s="39"/>
      <c r="J45" s="40"/>
      <c r="K45" s="41"/>
      <c r="L45" s="42"/>
      <c r="M45" s="43"/>
    </row>
    <row r="46" spans="2:13" ht="24" customHeight="1">
      <c r="B46" s="56"/>
      <c r="C46" s="28" t="s">
        <v>36</v>
      </c>
      <c r="D46" s="29"/>
      <c r="E46" s="30">
        <f>SUM(E4:E45)</f>
        <v>33350</v>
      </c>
      <c r="F46" s="46">
        <f>SUM(F4:F45)</f>
        <v>33498</v>
      </c>
      <c r="G46" s="42"/>
      <c r="H46" s="42"/>
      <c r="I46" s="44"/>
      <c r="J46" s="42"/>
      <c r="K46" s="42"/>
      <c r="L46" s="42"/>
      <c r="M46" s="42"/>
    </row>
    <row r="47" spans="2:13" ht="24" customHeight="1">
      <c r="C47" s="32"/>
      <c r="I47" s="31"/>
    </row>
    <row r="48" spans="2:13" ht="24" customHeight="1">
      <c r="B48" s="32"/>
      <c r="I48" s="31"/>
    </row>
    <row r="49" spans="9:12" ht="20.25" customHeight="1">
      <c r="I49" s="31"/>
    </row>
    <row r="50" spans="9:12" ht="20.25" customHeight="1">
      <c r="I50" s="31"/>
    </row>
    <row r="51" spans="9:12" ht="20.25" customHeight="1"/>
    <row r="52" spans="9:12" ht="20.25" customHeight="1"/>
    <row r="53" spans="9:12" ht="20.25" customHeight="1">
      <c r="L53" s="3" t="s">
        <v>37</v>
      </c>
    </row>
    <row r="54" spans="9:12" ht="20.25" customHeight="1"/>
    <row r="55" spans="9:12" ht="20.25" customHeight="1"/>
    <row r="56" spans="9:12" ht="21" customHeight="1"/>
    <row r="57" spans="9:12" ht="21" customHeight="1"/>
    <row r="58" spans="9:12" ht="18" customHeight="1"/>
    <row r="59" spans="9:12" ht="18" customHeight="1">
      <c r="I59" s="33"/>
    </row>
    <row r="60" spans="9:12" ht="18" customHeight="1"/>
    <row r="61" spans="9:12" ht="18" customHeight="1"/>
    <row r="62" spans="9:12" ht="18" customHeight="1"/>
    <row r="63" spans="9:12" ht="18" customHeight="1"/>
    <row r="64" spans="9:12" ht="18" customHeight="1"/>
    <row r="65" spans="2:13" ht="18" customHeight="1"/>
    <row r="66" spans="2:13" ht="18" customHeight="1"/>
    <row r="72" spans="2:13" s="34" customFormat="1" ht="27.6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</sheetData>
  <mergeCells count="12">
    <mergeCell ref="M13:M15"/>
    <mergeCell ref="H2:I2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A484-05AF-4F30-B419-856FCACDA2ED}">
  <dimension ref="B2:M52"/>
  <sheetViews>
    <sheetView topLeftCell="C1" zoomScale="80" zoomScaleNormal="80" workbookViewId="0">
      <selection activeCell="L14" sqref="L14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18.7109375" style="3" bestFit="1" customWidth="1"/>
    <col min="13" max="13" width="40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 t="s">
        <v>128</v>
      </c>
      <c r="C4" s="18" t="s">
        <v>118</v>
      </c>
      <c r="D4" s="24" t="s">
        <v>14</v>
      </c>
      <c r="E4" s="7">
        <v>1000</v>
      </c>
      <c r="F4" s="7">
        <v>1000</v>
      </c>
      <c r="G4" s="7">
        <v>52</v>
      </c>
      <c r="H4" s="8">
        <v>0.3888888888888889</v>
      </c>
      <c r="I4" s="8">
        <v>0.40625</v>
      </c>
      <c r="J4" s="9">
        <f>I4-H4</f>
        <v>1.7361111111111105E-2</v>
      </c>
      <c r="K4" s="10">
        <f>IFERROR((J4*24*60)/F4,"")</f>
        <v>2.4999999999999994E-2</v>
      </c>
      <c r="L4" s="25"/>
      <c r="M4" s="4" t="s">
        <v>79</v>
      </c>
    </row>
    <row r="5" spans="2:13" ht="21" customHeight="1">
      <c r="B5" s="22" t="s">
        <v>129</v>
      </c>
      <c r="C5" s="4"/>
      <c r="D5" s="24" t="s">
        <v>17</v>
      </c>
      <c r="E5" s="7">
        <v>1000</v>
      </c>
      <c r="F5" s="7">
        <v>1000</v>
      </c>
      <c r="G5" s="7">
        <v>52</v>
      </c>
      <c r="H5" s="8">
        <v>0.40625</v>
      </c>
      <c r="I5" s="8">
        <v>0.41666666666666669</v>
      </c>
      <c r="J5" s="9">
        <f>I5-H5</f>
        <v>1.0416666666666685E-2</v>
      </c>
      <c r="K5" s="10">
        <f t="shared" ref="K5:K8" si="0">IFERROR((J5*24*60)/F5,"")</f>
        <v>1.5000000000000027E-2</v>
      </c>
      <c r="L5" s="12"/>
      <c r="M5" s="4"/>
    </row>
    <row r="6" spans="2:13" ht="21" customHeight="1">
      <c r="B6" s="4"/>
      <c r="C6" s="4"/>
      <c r="D6" s="24" t="s">
        <v>18</v>
      </c>
      <c r="E6" s="7">
        <v>1000</v>
      </c>
      <c r="F6" s="7">
        <v>1000</v>
      </c>
      <c r="G6" s="7">
        <v>52</v>
      </c>
      <c r="H6" s="8">
        <v>0.41666666666666669</v>
      </c>
      <c r="I6" s="8">
        <v>0.43055555555555558</v>
      </c>
      <c r="J6" s="9">
        <f>I6-H6</f>
        <v>1.3888888888888895E-2</v>
      </c>
      <c r="K6" s="10">
        <f t="shared" si="0"/>
        <v>2.0000000000000007E-2</v>
      </c>
      <c r="L6" s="4"/>
      <c r="M6" s="4"/>
    </row>
    <row r="7" spans="2:13" ht="21" customHeight="1">
      <c r="B7" s="4"/>
      <c r="C7" s="4"/>
      <c r="D7" s="24" t="s">
        <v>19</v>
      </c>
      <c r="E7" s="7">
        <v>1000</v>
      </c>
      <c r="F7" s="7">
        <v>1000</v>
      </c>
      <c r="G7" s="7">
        <v>52</v>
      </c>
      <c r="H7" s="8">
        <v>0.43055555555555558</v>
      </c>
      <c r="I7" s="8">
        <v>0.44444444444444442</v>
      </c>
      <c r="J7" s="9">
        <f t="shared" ref="J7:J8" si="1">I7-H7</f>
        <v>1.388888888888884E-2</v>
      </c>
      <c r="K7" s="10">
        <f t="shared" si="0"/>
        <v>1.9999999999999928E-2</v>
      </c>
      <c r="L7" s="4"/>
      <c r="M7" s="4"/>
    </row>
    <row r="8" spans="2:13" ht="21" customHeight="1">
      <c r="B8" s="4"/>
      <c r="C8" s="4"/>
      <c r="D8" s="24" t="s">
        <v>20</v>
      </c>
      <c r="E8" s="7">
        <v>1000</v>
      </c>
      <c r="F8" s="6">
        <v>1040</v>
      </c>
      <c r="G8" s="7">
        <v>52</v>
      </c>
      <c r="H8" s="8">
        <v>0.44444444444444442</v>
      </c>
      <c r="I8" s="8">
        <v>0.45833333333333331</v>
      </c>
      <c r="J8" s="9">
        <f t="shared" si="1"/>
        <v>1.3888888888888895E-2</v>
      </c>
      <c r="K8" s="10">
        <f t="shared" si="0"/>
        <v>1.9230769230769239E-2</v>
      </c>
      <c r="L8" s="4"/>
      <c r="M8" s="4"/>
    </row>
    <row r="9" spans="2:13" ht="21" customHeight="1">
      <c r="B9" s="4"/>
      <c r="C9" s="4"/>
      <c r="D9" s="24" t="s">
        <v>21</v>
      </c>
      <c r="E9" s="7">
        <v>1000</v>
      </c>
      <c r="F9" s="7">
        <v>1000</v>
      </c>
      <c r="G9" s="7">
        <v>52</v>
      </c>
      <c r="H9" s="8">
        <v>0.45833333333333331</v>
      </c>
      <c r="I9" s="8">
        <v>0.47569444444444442</v>
      </c>
      <c r="J9" s="9">
        <f t="shared" ref="J9:J10" si="2">I9-H9</f>
        <v>1.7361111111111105E-2</v>
      </c>
      <c r="K9" s="10">
        <f t="shared" ref="K9:K10" si="3">IFERROR((J9*24*60)/F9,"")</f>
        <v>2.4999999999999994E-2</v>
      </c>
      <c r="L9" s="4"/>
      <c r="M9" s="4"/>
    </row>
    <row r="10" spans="2:13" ht="21" customHeight="1">
      <c r="B10" s="4"/>
      <c r="C10" s="4"/>
      <c r="D10" s="24" t="s">
        <v>22</v>
      </c>
      <c r="E10" s="7">
        <v>1000</v>
      </c>
      <c r="F10" s="6">
        <v>1040</v>
      </c>
      <c r="G10" s="7">
        <v>52</v>
      </c>
      <c r="H10" s="8">
        <v>0.47569444444444442</v>
      </c>
      <c r="I10" s="8">
        <v>0.49305555555555558</v>
      </c>
      <c r="J10" s="9">
        <f t="shared" si="2"/>
        <v>1.736111111111116E-2</v>
      </c>
      <c r="K10" s="10">
        <f t="shared" si="3"/>
        <v>2.4038461538461606E-2</v>
      </c>
      <c r="L10" s="4"/>
      <c r="M10" s="4"/>
    </row>
    <row r="11" spans="2:13" ht="21" customHeight="1">
      <c r="B11" s="4"/>
      <c r="C11" s="4"/>
      <c r="D11" s="24" t="s">
        <v>28</v>
      </c>
      <c r="E11" s="7"/>
      <c r="F11" s="7">
        <v>8</v>
      </c>
      <c r="G11" s="19"/>
      <c r="H11" s="8"/>
      <c r="I11" s="8"/>
      <c r="J11" s="9"/>
      <c r="K11" s="10"/>
      <c r="L11" s="4"/>
      <c r="M11" s="4"/>
    </row>
    <row r="12" spans="2:13" ht="23.25" customHeight="1">
      <c r="B12" s="17"/>
      <c r="C12" s="26"/>
      <c r="D12" s="24" t="s">
        <v>29</v>
      </c>
      <c r="E12" s="7"/>
      <c r="F12" s="7">
        <v>8</v>
      </c>
      <c r="G12" s="19"/>
      <c r="H12" s="8"/>
      <c r="I12" s="8"/>
      <c r="J12" s="9"/>
      <c r="K12" s="20"/>
      <c r="L12" s="21"/>
      <c r="M12" s="4"/>
    </row>
    <row r="13" spans="2:13" ht="23.25" customHeight="1">
      <c r="B13" s="17"/>
      <c r="C13" s="26"/>
      <c r="D13" s="24" t="s">
        <v>30</v>
      </c>
      <c r="E13" s="24" t="s">
        <v>30</v>
      </c>
      <c r="F13" s="24" t="s">
        <v>30</v>
      </c>
      <c r="G13" s="19" t="s">
        <v>26</v>
      </c>
      <c r="H13" s="8">
        <v>0.49305555555555558</v>
      </c>
      <c r="I13" s="8">
        <v>0.53472222222222199</v>
      </c>
      <c r="J13" s="9">
        <f t="shared" ref="J13" si="4">I13-H13</f>
        <v>4.1666666666666408E-2</v>
      </c>
      <c r="K13" s="10" t="str">
        <f t="shared" ref="K13" si="5">IFERROR((J13*24*60)/F13,"")</f>
        <v/>
      </c>
      <c r="L13" s="21"/>
      <c r="M13" s="25" t="s">
        <v>51</v>
      </c>
    </row>
    <row r="14" spans="2:13" ht="23.25" customHeight="1">
      <c r="B14" s="17"/>
      <c r="C14" s="26" t="s">
        <v>108</v>
      </c>
      <c r="D14" s="24" t="s">
        <v>14</v>
      </c>
      <c r="E14" s="7">
        <v>1500</v>
      </c>
      <c r="F14" s="7">
        <v>1512</v>
      </c>
      <c r="G14" s="19" t="s">
        <v>120</v>
      </c>
      <c r="H14" s="8">
        <v>0.5625</v>
      </c>
      <c r="I14" s="8">
        <v>0.63888888888888884</v>
      </c>
      <c r="J14" s="9">
        <f t="shared" ref="J14:J18" si="6">I14-H14</f>
        <v>7.638888888888884E-2</v>
      </c>
      <c r="K14" s="10">
        <f t="shared" ref="K14:K18" si="7">IFERROR((J14*24*60)/F14,"")</f>
        <v>7.2751322751322706E-2</v>
      </c>
      <c r="L14" s="21" t="s">
        <v>130</v>
      </c>
      <c r="M14" s="57" t="s">
        <v>131</v>
      </c>
    </row>
    <row r="15" spans="2:13" ht="23.25" customHeight="1">
      <c r="B15" s="17"/>
      <c r="C15" s="26"/>
      <c r="D15" s="24" t="s">
        <v>17</v>
      </c>
      <c r="E15" s="7">
        <v>1500</v>
      </c>
      <c r="F15" s="7">
        <v>1512</v>
      </c>
      <c r="G15" s="19" t="s">
        <v>33</v>
      </c>
      <c r="H15" s="8">
        <v>0.57638888888888884</v>
      </c>
      <c r="I15" s="8">
        <v>0.60069444444444442</v>
      </c>
      <c r="J15" s="9">
        <f t="shared" si="6"/>
        <v>2.430555555555558E-2</v>
      </c>
      <c r="K15" s="10">
        <f t="shared" si="7"/>
        <v>2.3148148148148171E-2</v>
      </c>
      <c r="L15" s="21" t="s">
        <v>132</v>
      </c>
      <c r="M15" s="58" t="s">
        <v>133</v>
      </c>
    </row>
    <row r="16" spans="2:13" ht="23.25" customHeight="1">
      <c r="B16" s="17"/>
      <c r="C16" s="26"/>
      <c r="D16" s="24" t="s">
        <v>18</v>
      </c>
      <c r="E16" s="7">
        <v>1500</v>
      </c>
      <c r="F16" s="7">
        <v>1536</v>
      </c>
      <c r="G16" s="19" t="s">
        <v>33</v>
      </c>
      <c r="H16" s="8">
        <v>0.60069444444444442</v>
      </c>
      <c r="I16" s="8">
        <v>0.62152777777777779</v>
      </c>
      <c r="J16" s="9">
        <f t="shared" si="6"/>
        <v>2.083333333333337E-2</v>
      </c>
      <c r="K16" s="10">
        <f t="shared" si="7"/>
        <v>1.9531250000000035E-2</v>
      </c>
      <c r="L16" s="21"/>
      <c r="M16" s="55"/>
    </row>
    <row r="17" spans="2:13" ht="23.25" customHeight="1">
      <c r="B17" s="17"/>
      <c r="C17" s="26"/>
      <c r="D17" s="24" t="s">
        <v>19</v>
      </c>
      <c r="E17" s="7">
        <v>1500</v>
      </c>
      <c r="F17" s="7">
        <v>1440</v>
      </c>
      <c r="G17" s="19" t="s">
        <v>33</v>
      </c>
      <c r="H17" s="8">
        <v>0.62152777777777779</v>
      </c>
      <c r="I17" s="8">
        <v>0.64236111111111116</v>
      </c>
      <c r="J17" s="9">
        <f t="shared" si="6"/>
        <v>2.083333333333337E-2</v>
      </c>
      <c r="K17" s="10">
        <f t="shared" si="7"/>
        <v>2.083333333333337E-2</v>
      </c>
      <c r="L17" s="21"/>
      <c r="M17" s="4"/>
    </row>
    <row r="18" spans="2:13" ht="23.25" customHeight="1">
      <c r="B18" s="17"/>
      <c r="C18" s="26"/>
      <c r="D18" s="24" t="s">
        <v>20</v>
      </c>
      <c r="E18" s="7">
        <v>1500</v>
      </c>
      <c r="F18" s="7">
        <v>1584</v>
      </c>
      <c r="G18" s="19" t="s">
        <v>33</v>
      </c>
      <c r="H18" s="8">
        <v>0.64236111111111116</v>
      </c>
      <c r="I18" s="8">
        <v>0.66666666666666663</v>
      </c>
      <c r="J18" s="9">
        <f t="shared" si="6"/>
        <v>2.4305555555555469E-2</v>
      </c>
      <c r="K18" s="10">
        <f t="shared" si="7"/>
        <v>2.2095959595959516E-2</v>
      </c>
      <c r="L18" s="21"/>
      <c r="M18" s="57"/>
    </row>
    <row r="19" spans="2:13" ht="23.25" customHeight="1">
      <c r="B19" s="17"/>
      <c r="C19" s="26"/>
      <c r="D19" s="24" t="s">
        <v>21</v>
      </c>
      <c r="E19" s="7">
        <v>1500</v>
      </c>
      <c r="F19" s="7">
        <v>1512</v>
      </c>
      <c r="G19" s="19" t="s">
        <v>120</v>
      </c>
      <c r="H19" s="8">
        <v>0.63888888888888884</v>
      </c>
      <c r="I19" s="8">
        <v>0.70138888888888884</v>
      </c>
      <c r="J19" s="9">
        <f t="shared" ref="J19:J23" si="8">I19-H19</f>
        <v>6.25E-2</v>
      </c>
      <c r="K19" s="10">
        <f t="shared" ref="K19:K23" si="9">IFERROR((J19*24*60)/F19,"")</f>
        <v>5.9523809523809521E-2</v>
      </c>
      <c r="L19" s="21"/>
      <c r="M19" s="59" t="s">
        <v>134</v>
      </c>
    </row>
    <row r="20" spans="2:13" ht="23.25" customHeight="1">
      <c r="B20" s="17"/>
      <c r="C20" s="26"/>
      <c r="D20" s="24" t="s">
        <v>22</v>
      </c>
      <c r="E20" s="7">
        <v>1500</v>
      </c>
      <c r="F20" s="7">
        <v>1536</v>
      </c>
      <c r="G20" s="19" t="s">
        <v>33</v>
      </c>
      <c r="H20" s="8">
        <v>0.66666666666666663</v>
      </c>
      <c r="I20" s="8">
        <v>0.6875</v>
      </c>
      <c r="J20" s="9">
        <f t="shared" si="8"/>
        <v>2.083333333333337E-2</v>
      </c>
      <c r="K20" s="10">
        <f t="shared" si="9"/>
        <v>1.9531250000000035E-2</v>
      </c>
      <c r="L20" s="21"/>
      <c r="M20" s="55"/>
    </row>
    <row r="21" spans="2:13" ht="23.25" customHeight="1">
      <c r="B21" s="17"/>
      <c r="C21" s="26"/>
      <c r="D21" s="24" t="s">
        <v>23</v>
      </c>
      <c r="E21" s="7">
        <v>1500</v>
      </c>
      <c r="F21" s="7">
        <v>1536</v>
      </c>
      <c r="G21" s="19" t="s">
        <v>33</v>
      </c>
      <c r="H21" s="8">
        <v>0.6875</v>
      </c>
      <c r="I21" s="8">
        <v>0.71180555555555558</v>
      </c>
      <c r="J21" s="9">
        <f t="shared" si="8"/>
        <v>2.430555555555558E-2</v>
      </c>
      <c r="K21" s="10">
        <f t="shared" si="9"/>
        <v>2.2786458333333356E-2</v>
      </c>
      <c r="L21" s="21"/>
      <c r="M21" s="55"/>
    </row>
    <row r="22" spans="2:13" ht="23.25" customHeight="1">
      <c r="B22" s="17"/>
      <c r="C22" s="26"/>
      <c r="D22" s="24" t="s">
        <v>24</v>
      </c>
      <c r="E22" s="7">
        <v>1500</v>
      </c>
      <c r="F22" s="7">
        <v>1584</v>
      </c>
      <c r="G22" s="19" t="s">
        <v>135</v>
      </c>
      <c r="H22" s="8">
        <v>0.71180555555555558</v>
      </c>
      <c r="I22" s="8">
        <v>0.73611111111111116</v>
      </c>
      <c r="J22" s="9">
        <f t="shared" si="8"/>
        <v>2.430555555555558E-2</v>
      </c>
      <c r="K22" s="10">
        <f t="shared" si="9"/>
        <v>2.2095959595959617E-2</v>
      </c>
      <c r="L22" s="21"/>
      <c r="M22" s="55"/>
    </row>
    <row r="23" spans="2:13" ht="23.25" customHeight="1">
      <c r="B23" s="17"/>
      <c r="C23" s="26"/>
      <c r="D23" s="24" t="s">
        <v>25</v>
      </c>
      <c r="E23" s="7">
        <v>1500</v>
      </c>
      <c r="F23" s="7">
        <v>1872</v>
      </c>
      <c r="G23" s="19" t="s">
        <v>135</v>
      </c>
      <c r="H23" s="8">
        <v>0.73611111111111116</v>
      </c>
      <c r="I23" s="8">
        <v>0.76041666666666663</v>
      </c>
      <c r="J23" s="9">
        <f t="shared" si="8"/>
        <v>2.4305555555555469E-2</v>
      </c>
      <c r="K23" s="10">
        <f t="shared" si="9"/>
        <v>1.8696581196581127E-2</v>
      </c>
      <c r="L23" s="21"/>
      <c r="M23" s="55" t="s">
        <v>136</v>
      </c>
    </row>
    <row r="24" spans="2:13" ht="23.25" customHeight="1">
      <c r="B24" s="17"/>
      <c r="C24" s="26"/>
      <c r="D24" s="24" t="s">
        <v>28</v>
      </c>
      <c r="E24" s="7"/>
      <c r="F24" s="7">
        <v>13</v>
      </c>
      <c r="G24" s="19"/>
      <c r="H24" s="8"/>
      <c r="I24" s="8"/>
      <c r="J24" s="9"/>
      <c r="K24" s="20"/>
      <c r="L24" s="21"/>
      <c r="M24" s="4"/>
    </row>
    <row r="25" spans="2:13" ht="23.25" customHeight="1">
      <c r="B25" s="17"/>
      <c r="C25" s="26"/>
      <c r="D25" s="24" t="s">
        <v>29</v>
      </c>
      <c r="E25" s="7"/>
      <c r="F25" s="7">
        <v>12</v>
      </c>
      <c r="G25" s="19"/>
      <c r="H25" s="8"/>
      <c r="I25" s="8"/>
      <c r="J25" s="9"/>
      <c r="K25" s="20"/>
      <c r="L25" s="21"/>
      <c r="M25" s="4"/>
    </row>
    <row r="26" spans="2:13" ht="24" customHeight="1">
      <c r="B26" s="56"/>
      <c r="C26" s="28" t="s">
        <v>36</v>
      </c>
      <c r="D26" s="29"/>
      <c r="E26" s="30">
        <f>SUM(E4:E25)</f>
        <v>22000</v>
      </c>
      <c r="F26" s="46">
        <f>SUM(F4:F25)</f>
        <v>22745</v>
      </c>
      <c r="G26" s="42"/>
      <c r="H26" s="42"/>
      <c r="I26" s="44"/>
      <c r="J26" s="42"/>
      <c r="K26" s="42"/>
      <c r="L26" s="42"/>
      <c r="M26" s="42"/>
    </row>
    <row r="27" spans="2:13" ht="24" customHeight="1">
      <c r="C27" s="32"/>
      <c r="I27" s="31"/>
    </row>
    <row r="28" spans="2:13" ht="24" customHeight="1">
      <c r="B28" s="32"/>
      <c r="I28" s="31"/>
    </row>
    <row r="29" spans="2:13" ht="20.25" customHeight="1">
      <c r="I29" s="31"/>
    </row>
    <row r="30" spans="2:13" ht="20.25" customHeight="1">
      <c r="I30" s="31"/>
    </row>
    <row r="31" spans="2:13" ht="20.25" customHeight="1"/>
    <row r="32" spans="2:13" ht="20.25" customHeight="1"/>
    <row r="33" spans="9:12" ht="20.25" customHeight="1">
      <c r="L33" s="3" t="s">
        <v>37</v>
      </c>
    </row>
    <row r="34" spans="9:12" ht="20.25" customHeight="1"/>
    <row r="35" spans="9:12" ht="20.25" customHeight="1"/>
    <row r="36" spans="9:12" ht="21" customHeight="1"/>
    <row r="37" spans="9:12" ht="21" customHeight="1"/>
    <row r="38" spans="9:12" ht="18" customHeight="1"/>
    <row r="39" spans="9:12" ht="18" customHeight="1">
      <c r="I39" s="33"/>
    </row>
    <row r="40" spans="9:12" ht="18" customHeight="1"/>
    <row r="41" spans="9:12" ht="18" customHeight="1"/>
    <row r="42" spans="9:12" ht="18" customHeight="1"/>
    <row r="43" spans="9:12" ht="18" customHeight="1"/>
    <row r="44" spans="9:12" ht="18" customHeight="1"/>
    <row r="45" spans="9:12" ht="18" customHeight="1"/>
    <row r="46" spans="9:12" ht="18" customHeight="1"/>
    <row r="52" spans="2:13" s="34" customFormat="1" ht="27.6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</sheetData>
  <mergeCells count="11">
    <mergeCell ref="G2:G3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C07E-1EC5-4E85-89D7-A3F3B5862147}">
  <dimension ref="B2:M68"/>
  <sheetViews>
    <sheetView zoomScale="80" zoomScaleNormal="80" workbookViewId="0">
      <pane ySplit="3" topLeftCell="A4" activePane="bottomLeft" state="frozen"/>
      <selection pane="bottomLeft" activeCell="F34" sqref="F34:F41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18.7109375" style="3" bestFit="1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 t="s">
        <v>137</v>
      </c>
      <c r="C4" s="18" t="s">
        <v>32</v>
      </c>
      <c r="D4" s="24" t="s">
        <v>14</v>
      </c>
      <c r="E4" s="7">
        <v>1500</v>
      </c>
      <c r="F4" s="7">
        <v>1440</v>
      </c>
      <c r="G4" s="7">
        <v>52</v>
      </c>
      <c r="H4" s="8">
        <v>0.38541666666666669</v>
      </c>
      <c r="I4" s="8">
        <v>0.41666666666666669</v>
      </c>
      <c r="J4" s="9">
        <f>I4-H4</f>
        <v>3.125E-2</v>
      </c>
      <c r="K4" s="10">
        <f>IFERROR((J4*24*60)/F4,"")</f>
        <v>3.125E-2</v>
      </c>
      <c r="L4" s="25" t="s">
        <v>138</v>
      </c>
      <c r="M4" s="4" t="s">
        <v>114</v>
      </c>
    </row>
    <row r="5" spans="2:13" ht="21" customHeight="1">
      <c r="B5" s="22" t="s">
        <v>139</v>
      </c>
      <c r="C5" s="4"/>
      <c r="D5" s="24" t="s">
        <v>17</v>
      </c>
      <c r="E5" s="7">
        <v>1500</v>
      </c>
      <c r="F5" s="7">
        <v>1488</v>
      </c>
      <c r="G5" s="7">
        <v>50</v>
      </c>
      <c r="H5" s="8">
        <v>0.41666666666666669</v>
      </c>
      <c r="I5" s="8">
        <v>0.44097222222222221</v>
      </c>
      <c r="J5" s="9">
        <f>I5-H5</f>
        <v>2.4305555555555525E-2</v>
      </c>
      <c r="K5" s="10">
        <f t="shared" ref="K5:K12" si="0">IFERROR((J5*24*60)/F5,"")</f>
        <v>2.3521505376344058E-2</v>
      </c>
      <c r="L5" s="12"/>
      <c r="M5" s="4"/>
    </row>
    <row r="6" spans="2:13" ht="21" customHeight="1">
      <c r="B6" s="4"/>
      <c r="C6" s="4"/>
      <c r="D6" s="24" t="s">
        <v>18</v>
      </c>
      <c r="E6" s="7">
        <v>1500</v>
      </c>
      <c r="F6" s="7">
        <v>1488</v>
      </c>
      <c r="G6" s="7">
        <v>50</v>
      </c>
      <c r="H6" s="8">
        <v>0.44097222222222221</v>
      </c>
      <c r="I6" s="8">
        <v>0.46527777777777779</v>
      </c>
      <c r="J6" s="9">
        <f>I6-H6</f>
        <v>2.430555555555558E-2</v>
      </c>
      <c r="K6" s="10">
        <f t="shared" si="0"/>
        <v>2.352150537634411E-2</v>
      </c>
      <c r="L6" s="4"/>
      <c r="M6" s="4"/>
    </row>
    <row r="7" spans="2:13" ht="21" customHeight="1">
      <c r="B7" s="4"/>
      <c r="C7" s="4"/>
      <c r="D7" s="24" t="s">
        <v>19</v>
      </c>
      <c r="E7" s="7">
        <v>1500</v>
      </c>
      <c r="F7" s="7">
        <v>1464</v>
      </c>
      <c r="G7" s="7">
        <v>48</v>
      </c>
      <c r="H7" s="8">
        <v>0.46527777777777779</v>
      </c>
      <c r="I7" s="8">
        <v>0.49305555555555558</v>
      </c>
      <c r="J7" s="9">
        <f t="shared" ref="J7:J12" si="1">I7-H7</f>
        <v>2.777777777777779E-2</v>
      </c>
      <c r="K7" s="10">
        <f t="shared" si="0"/>
        <v>2.7322404371584709E-2</v>
      </c>
      <c r="L7" s="4"/>
      <c r="M7" s="4"/>
    </row>
    <row r="8" spans="2:13" ht="21" customHeight="1">
      <c r="B8" s="4"/>
      <c r="C8" s="4"/>
      <c r="D8" s="24" t="s">
        <v>20</v>
      </c>
      <c r="E8" s="7">
        <v>1500</v>
      </c>
      <c r="F8" s="7">
        <v>1488</v>
      </c>
      <c r="G8" s="7">
        <v>48</v>
      </c>
      <c r="H8" s="8">
        <v>0.49305555555555558</v>
      </c>
      <c r="I8" s="8">
        <v>0.52083333333333337</v>
      </c>
      <c r="J8" s="9">
        <f t="shared" si="1"/>
        <v>2.777777777777779E-2</v>
      </c>
      <c r="K8" s="10">
        <f t="shared" si="0"/>
        <v>2.6881720430107538E-2</v>
      </c>
      <c r="L8" s="4"/>
      <c r="M8" s="4"/>
    </row>
    <row r="9" spans="2:13" ht="21" customHeight="1">
      <c r="B9" s="4"/>
      <c r="C9" s="4"/>
      <c r="D9" s="24" t="s">
        <v>21</v>
      </c>
      <c r="E9" s="7">
        <v>1500</v>
      </c>
      <c r="F9" s="7">
        <v>1440</v>
      </c>
      <c r="G9" s="7">
        <v>48</v>
      </c>
      <c r="H9" s="8">
        <v>0.52083333333333337</v>
      </c>
      <c r="I9" s="8">
        <v>0.54513888888888884</v>
      </c>
      <c r="J9" s="9">
        <f t="shared" si="1"/>
        <v>2.4305555555555469E-2</v>
      </c>
      <c r="K9" s="10">
        <f t="shared" si="0"/>
        <v>2.4305555555555466E-2</v>
      </c>
      <c r="L9" s="4"/>
      <c r="M9" s="4"/>
    </row>
    <row r="10" spans="2:13" ht="21" customHeight="1">
      <c r="B10" s="4"/>
      <c r="C10" s="4"/>
      <c r="D10" s="24" t="s">
        <v>30</v>
      </c>
      <c r="E10" s="24" t="s">
        <v>30</v>
      </c>
      <c r="F10" s="24" t="s">
        <v>30</v>
      </c>
      <c r="G10" s="19" t="s">
        <v>26</v>
      </c>
      <c r="H10" s="8">
        <v>0.54513888888888884</v>
      </c>
      <c r="I10" s="8">
        <v>0.58680555555555503</v>
      </c>
      <c r="J10" s="9">
        <f t="shared" si="1"/>
        <v>4.1666666666666186E-2</v>
      </c>
      <c r="K10" s="10" t="str">
        <f t="shared" si="0"/>
        <v/>
      </c>
      <c r="L10" s="21"/>
      <c r="M10" s="25" t="s">
        <v>51</v>
      </c>
    </row>
    <row r="11" spans="2:13" ht="21" customHeight="1">
      <c r="B11" s="4"/>
      <c r="C11" s="4"/>
      <c r="D11" s="24" t="s">
        <v>22</v>
      </c>
      <c r="E11" s="7">
        <v>1500</v>
      </c>
      <c r="F11" s="7">
        <v>1488</v>
      </c>
      <c r="G11" s="7">
        <v>22</v>
      </c>
      <c r="H11" s="8">
        <v>0.52430555555555558</v>
      </c>
      <c r="I11" s="8">
        <v>0.63541666666666663</v>
      </c>
      <c r="J11" s="9">
        <f t="shared" si="1"/>
        <v>0.11111111111111105</v>
      </c>
      <c r="K11" s="10">
        <f t="shared" si="0"/>
        <v>0.10752688172043005</v>
      </c>
      <c r="L11" s="4"/>
      <c r="M11" s="248" t="s">
        <v>140</v>
      </c>
    </row>
    <row r="12" spans="2:13" ht="21" customHeight="1">
      <c r="B12" s="4"/>
      <c r="C12" s="4"/>
      <c r="D12" s="24" t="s">
        <v>23</v>
      </c>
      <c r="E12" s="7">
        <v>1500</v>
      </c>
      <c r="F12" s="7">
        <v>1536</v>
      </c>
      <c r="G12" s="7">
        <v>23</v>
      </c>
      <c r="H12" s="8">
        <v>0.63541666666666663</v>
      </c>
      <c r="I12" s="8">
        <v>0.71875</v>
      </c>
      <c r="J12" s="9">
        <f t="shared" si="1"/>
        <v>8.333333333333337E-2</v>
      </c>
      <c r="K12" s="10">
        <f t="shared" si="0"/>
        <v>7.8125000000000042E-2</v>
      </c>
      <c r="L12" s="4"/>
      <c r="M12" s="250"/>
    </row>
    <row r="13" spans="2:13" ht="21" customHeight="1">
      <c r="B13" s="4"/>
      <c r="C13" s="4"/>
      <c r="D13" s="24" t="s">
        <v>28</v>
      </c>
      <c r="E13" s="7"/>
      <c r="F13" s="7">
        <v>23</v>
      </c>
      <c r="G13" s="19"/>
      <c r="H13" s="8"/>
      <c r="I13" s="8"/>
      <c r="J13" s="9"/>
      <c r="K13" s="10"/>
      <c r="L13" s="4"/>
      <c r="M13" s="4"/>
    </row>
    <row r="14" spans="2:13" ht="23.25" customHeight="1">
      <c r="B14" s="17"/>
      <c r="C14" s="26"/>
      <c r="D14" s="24" t="s">
        <v>29</v>
      </c>
      <c r="E14" s="7"/>
      <c r="F14" s="7">
        <v>10</v>
      </c>
      <c r="G14" s="19"/>
      <c r="H14" s="8"/>
      <c r="I14" s="8"/>
      <c r="J14" s="9"/>
      <c r="K14" s="20"/>
      <c r="L14" s="21"/>
      <c r="M14" s="4"/>
    </row>
    <row r="15" spans="2:13" ht="23.25" customHeight="1">
      <c r="B15" s="17"/>
      <c r="C15" s="26" t="s">
        <v>118</v>
      </c>
      <c r="D15" s="24" t="s">
        <v>14</v>
      </c>
      <c r="E15" s="7">
        <v>1000</v>
      </c>
      <c r="F15" s="7">
        <v>1000</v>
      </c>
      <c r="G15" s="19" t="s">
        <v>141</v>
      </c>
      <c r="H15" s="8">
        <v>0.59722222222222221</v>
      </c>
      <c r="I15" s="8">
        <v>0.61111111111111116</v>
      </c>
      <c r="J15" s="9">
        <f t="shared" ref="J15:J39" si="2">I15-H15</f>
        <v>1.3888888888888951E-2</v>
      </c>
      <c r="K15" s="10">
        <f t="shared" ref="K15:K30" si="3">IFERROR((J15*24*60)/F15,"")</f>
        <v>2.0000000000000087E-2</v>
      </c>
      <c r="L15" s="21"/>
      <c r="M15" s="57"/>
    </row>
    <row r="16" spans="2:13" ht="23.25" customHeight="1">
      <c r="B16" s="17"/>
      <c r="C16" s="26"/>
      <c r="D16" s="24" t="s">
        <v>17</v>
      </c>
      <c r="E16" s="7">
        <v>1000</v>
      </c>
      <c r="F16" s="7">
        <v>1000</v>
      </c>
      <c r="G16" s="19" t="s">
        <v>141</v>
      </c>
      <c r="H16" s="8">
        <v>0.61111111111111116</v>
      </c>
      <c r="I16" s="8">
        <v>0.62152777777777779</v>
      </c>
      <c r="J16" s="9">
        <f t="shared" si="2"/>
        <v>1.041666666666663E-2</v>
      </c>
      <c r="K16" s="10">
        <f t="shared" si="3"/>
        <v>1.4999999999999947E-2</v>
      </c>
      <c r="L16" s="21"/>
      <c r="M16" s="58"/>
    </row>
    <row r="17" spans="2:13" ht="23.25" customHeight="1">
      <c r="B17" s="17"/>
      <c r="C17" s="26"/>
      <c r="D17" s="24" t="s">
        <v>18</v>
      </c>
      <c r="E17" s="7">
        <v>1000</v>
      </c>
      <c r="F17" s="7">
        <v>1000</v>
      </c>
      <c r="G17" s="19" t="s">
        <v>103</v>
      </c>
      <c r="H17" s="8">
        <v>0.62152777777777779</v>
      </c>
      <c r="I17" s="8">
        <v>0.63541666666666663</v>
      </c>
      <c r="J17" s="9">
        <f t="shared" si="2"/>
        <v>1.388888888888884E-2</v>
      </c>
      <c r="K17" s="10">
        <f t="shared" si="3"/>
        <v>1.9999999999999928E-2</v>
      </c>
      <c r="L17" s="21"/>
      <c r="M17" s="55"/>
    </row>
    <row r="18" spans="2:13" ht="23.25" customHeight="1">
      <c r="B18" s="17"/>
      <c r="C18" s="26"/>
      <c r="D18" s="24" t="s">
        <v>19</v>
      </c>
      <c r="E18" s="7">
        <v>1000</v>
      </c>
      <c r="F18" s="7">
        <v>1000</v>
      </c>
      <c r="G18" s="19" t="s">
        <v>103</v>
      </c>
      <c r="H18" s="8">
        <v>0.63541666666666663</v>
      </c>
      <c r="I18" s="8">
        <v>0.64930555555555558</v>
      </c>
      <c r="J18" s="9">
        <f t="shared" si="2"/>
        <v>1.3888888888888951E-2</v>
      </c>
      <c r="K18" s="10">
        <f t="shared" si="3"/>
        <v>2.0000000000000087E-2</v>
      </c>
      <c r="L18" s="21"/>
      <c r="M18" s="4"/>
    </row>
    <row r="19" spans="2:13" ht="23.25" customHeight="1">
      <c r="B19" s="17"/>
      <c r="C19" s="26"/>
      <c r="D19" s="24" t="s">
        <v>20</v>
      </c>
      <c r="E19" s="7">
        <v>1000</v>
      </c>
      <c r="F19" s="7">
        <v>1080</v>
      </c>
      <c r="G19" s="19" t="s">
        <v>103</v>
      </c>
      <c r="H19" s="8">
        <v>0.64930555555555558</v>
      </c>
      <c r="I19" s="8">
        <v>0.65972222222222221</v>
      </c>
      <c r="J19" s="9">
        <f t="shared" si="2"/>
        <v>1.041666666666663E-2</v>
      </c>
      <c r="K19" s="10">
        <f t="shared" si="3"/>
        <v>1.388888888888884E-2</v>
      </c>
      <c r="L19" s="21"/>
      <c r="M19" s="57"/>
    </row>
    <row r="20" spans="2:13" ht="23.25" customHeight="1">
      <c r="B20" s="17"/>
      <c r="C20" s="26"/>
      <c r="D20" s="24" t="s">
        <v>21</v>
      </c>
      <c r="E20" s="7">
        <v>1000</v>
      </c>
      <c r="F20" s="7">
        <v>1080</v>
      </c>
      <c r="G20" s="19" t="s">
        <v>103</v>
      </c>
      <c r="H20" s="8">
        <v>0.65972222222222221</v>
      </c>
      <c r="I20" s="8">
        <v>0.67361111111111116</v>
      </c>
      <c r="J20" s="9">
        <f t="shared" si="2"/>
        <v>1.3888888888888951E-2</v>
      </c>
      <c r="K20" s="10">
        <f t="shared" si="3"/>
        <v>1.8518518518518601E-2</v>
      </c>
      <c r="L20" s="21"/>
      <c r="M20" s="59"/>
    </row>
    <row r="21" spans="2:13" ht="23.25" customHeight="1">
      <c r="B21" s="17"/>
      <c r="C21" s="26"/>
      <c r="D21" s="24" t="s">
        <v>22</v>
      </c>
      <c r="E21" s="7">
        <v>1000</v>
      </c>
      <c r="F21" s="7">
        <v>1000</v>
      </c>
      <c r="G21" s="19" t="s">
        <v>103</v>
      </c>
      <c r="H21" s="8">
        <v>0.67361111111111116</v>
      </c>
      <c r="I21" s="8">
        <v>0.6875</v>
      </c>
      <c r="J21" s="9">
        <f t="shared" si="2"/>
        <v>1.388888888888884E-2</v>
      </c>
      <c r="K21" s="10">
        <f t="shared" si="3"/>
        <v>1.9999999999999928E-2</v>
      </c>
      <c r="L21" s="21"/>
      <c r="M21" s="55"/>
    </row>
    <row r="22" spans="2:13" ht="23.25" customHeight="1">
      <c r="B22" s="17"/>
      <c r="C22" s="26"/>
      <c r="D22" s="24" t="s">
        <v>23</v>
      </c>
      <c r="E22" s="7">
        <v>1000</v>
      </c>
      <c r="F22" s="7">
        <v>1000</v>
      </c>
      <c r="G22" s="19" t="s">
        <v>103</v>
      </c>
      <c r="H22" s="8">
        <v>0.6875</v>
      </c>
      <c r="I22" s="8">
        <v>0.70138888888888884</v>
      </c>
      <c r="J22" s="9">
        <f t="shared" si="2"/>
        <v>1.388888888888884E-2</v>
      </c>
      <c r="K22" s="10">
        <f t="shared" si="3"/>
        <v>1.9999999999999928E-2</v>
      </c>
      <c r="L22" s="21"/>
      <c r="M22" s="55"/>
    </row>
    <row r="23" spans="2:13" ht="23.25" customHeight="1">
      <c r="B23" s="17"/>
      <c r="C23" s="26"/>
      <c r="D23" s="24" t="s">
        <v>24</v>
      </c>
      <c r="E23" s="7">
        <v>1000</v>
      </c>
      <c r="F23" s="7">
        <v>1040</v>
      </c>
      <c r="G23" s="19" t="s">
        <v>103</v>
      </c>
      <c r="H23" s="8">
        <v>0.70138888888888884</v>
      </c>
      <c r="I23" s="8">
        <v>0.71527777777777779</v>
      </c>
      <c r="J23" s="9">
        <f t="shared" si="2"/>
        <v>1.3888888888888951E-2</v>
      </c>
      <c r="K23" s="10">
        <f t="shared" si="3"/>
        <v>1.9230769230769315E-2</v>
      </c>
      <c r="L23" s="21"/>
      <c r="M23" s="55"/>
    </row>
    <row r="24" spans="2:13" ht="23.25" customHeight="1">
      <c r="B24" s="17"/>
      <c r="C24" s="26"/>
      <c r="D24" s="24" t="s">
        <v>28</v>
      </c>
      <c r="E24" s="7"/>
      <c r="F24" s="7">
        <v>22</v>
      </c>
      <c r="G24" s="19"/>
      <c r="H24" s="8"/>
      <c r="I24" s="8"/>
      <c r="J24" s="9"/>
      <c r="K24" s="10"/>
      <c r="L24" s="21"/>
      <c r="M24" s="55"/>
    </row>
    <row r="25" spans="2:13" ht="23.25" customHeight="1">
      <c r="B25" s="17"/>
      <c r="C25" s="26"/>
      <c r="D25" s="24" t="s">
        <v>29</v>
      </c>
      <c r="E25" s="7"/>
      <c r="F25" s="7">
        <v>12</v>
      </c>
      <c r="G25" s="19"/>
      <c r="H25" s="8"/>
      <c r="I25" s="8"/>
      <c r="J25" s="9"/>
      <c r="K25" s="10"/>
      <c r="L25" s="21"/>
      <c r="M25" s="55"/>
    </row>
    <row r="26" spans="2:13" ht="23.25" customHeight="1">
      <c r="B26" s="17"/>
      <c r="C26" s="26"/>
      <c r="D26" s="24" t="s">
        <v>30</v>
      </c>
      <c r="E26" s="24" t="s">
        <v>30</v>
      </c>
      <c r="F26" s="24" t="s">
        <v>30</v>
      </c>
      <c r="G26" s="19" t="s">
        <v>103</v>
      </c>
      <c r="H26" s="8">
        <v>0.71527777777777779</v>
      </c>
      <c r="I26" s="8">
        <v>0.72569444444444442</v>
      </c>
      <c r="J26" s="9">
        <f t="shared" ref="J26" si="4">I26-H26</f>
        <v>1.041666666666663E-2</v>
      </c>
      <c r="K26" s="10" t="str">
        <f t="shared" ref="K26" si="5">IFERROR((J26*24*60)/F26,"")</f>
        <v/>
      </c>
      <c r="L26" s="21"/>
      <c r="M26" s="25" t="s">
        <v>51</v>
      </c>
    </row>
    <row r="27" spans="2:13" ht="23.25" customHeight="1">
      <c r="B27" s="17"/>
      <c r="C27" s="26" t="s">
        <v>142</v>
      </c>
      <c r="D27" s="24" t="s">
        <v>14</v>
      </c>
      <c r="E27" s="7">
        <v>1500</v>
      </c>
      <c r="F27" s="7">
        <v>1440</v>
      </c>
      <c r="G27" s="19" t="s">
        <v>135</v>
      </c>
      <c r="H27" s="8">
        <v>0.72569444444444442</v>
      </c>
      <c r="I27" s="8">
        <v>0.74652777777777779</v>
      </c>
      <c r="J27" s="9">
        <f t="shared" si="2"/>
        <v>2.083333333333337E-2</v>
      </c>
      <c r="K27" s="10">
        <f t="shared" si="3"/>
        <v>2.083333333333337E-2</v>
      </c>
      <c r="L27" s="21"/>
      <c r="M27" s="55"/>
    </row>
    <row r="28" spans="2:13" ht="23.25" customHeight="1">
      <c r="B28" s="17"/>
      <c r="C28" s="26"/>
      <c r="D28" s="24" t="s">
        <v>17</v>
      </c>
      <c r="E28" s="7">
        <v>1500</v>
      </c>
      <c r="F28" s="7">
        <v>1440</v>
      </c>
      <c r="G28" s="19" t="s">
        <v>135</v>
      </c>
      <c r="H28" s="8">
        <v>0.74652777777777779</v>
      </c>
      <c r="I28" s="8">
        <v>0.76736111111111116</v>
      </c>
      <c r="J28" s="9">
        <f t="shared" si="2"/>
        <v>2.083333333333337E-2</v>
      </c>
      <c r="K28" s="10">
        <f t="shared" si="3"/>
        <v>2.083333333333337E-2</v>
      </c>
      <c r="L28" s="21"/>
      <c r="M28" s="55"/>
    </row>
    <row r="29" spans="2:13" ht="23.25" customHeight="1">
      <c r="B29" s="17"/>
      <c r="C29" s="26"/>
      <c r="D29" s="24" t="s">
        <v>18</v>
      </c>
      <c r="E29" s="7">
        <v>1500</v>
      </c>
      <c r="F29" s="7">
        <v>1512</v>
      </c>
      <c r="G29" s="19" t="s">
        <v>135</v>
      </c>
      <c r="H29" s="8">
        <v>0.76736111111111116</v>
      </c>
      <c r="I29" s="8">
        <v>0.78472222222222221</v>
      </c>
      <c r="J29" s="9">
        <f t="shared" si="2"/>
        <v>1.7361111111111049E-2</v>
      </c>
      <c r="K29" s="10">
        <f t="shared" si="3"/>
        <v>1.6534391534391474E-2</v>
      </c>
      <c r="L29" s="21"/>
      <c r="M29" s="55"/>
    </row>
    <row r="30" spans="2:13" ht="23.25" customHeight="1">
      <c r="B30" s="17"/>
      <c r="C30" s="26"/>
      <c r="D30" s="24" t="s">
        <v>19</v>
      </c>
      <c r="E30" s="7">
        <v>1500</v>
      </c>
      <c r="F30" s="7">
        <v>1512</v>
      </c>
      <c r="G30" s="19" t="s">
        <v>135</v>
      </c>
      <c r="H30" s="8">
        <v>0.78472222222222221</v>
      </c>
      <c r="I30" s="8">
        <v>0.80555555555555558</v>
      </c>
      <c r="J30" s="9">
        <f t="shared" si="2"/>
        <v>2.083333333333337E-2</v>
      </c>
      <c r="K30" s="10">
        <f t="shared" si="3"/>
        <v>1.9841269841269875E-2</v>
      </c>
      <c r="L30" s="21"/>
      <c r="M30" s="55"/>
    </row>
    <row r="31" spans="2:13" ht="23.25" customHeight="1">
      <c r="B31" s="17"/>
      <c r="C31" s="26"/>
      <c r="D31" s="24" t="s">
        <v>28</v>
      </c>
      <c r="E31" s="7"/>
      <c r="F31" s="7">
        <v>10</v>
      </c>
      <c r="G31" s="19"/>
      <c r="H31" s="8"/>
      <c r="I31" s="8"/>
      <c r="J31" s="9"/>
      <c r="K31" s="20"/>
      <c r="L31" s="21"/>
      <c r="M31" s="55"/>
    </row>
    <row r="32" spans="2:13" ht="23.25" customHeight="1">
      <c r="B32" s="17"/>
      <c r="C32" s="26"/>
      <c r="D32" s="24" t="s">
        <v>29</v>
      </c>
      <c r="E32" s="7"/>
      <c r="F32" s="63">
        <v>4</v>
      </c>
      <c r="G32" s="47"/>
      <c r="H32" s="48"/>
      <c r="I32" s="48"/>
      <c r="J32" s="9"/>
      <c r="K32" s="50"/>
      <c r="L32" s="51"/>
      <c r="M32" s="55"/>
    </row>
    <row r="33" spans="2:13" ht="23.25" customHeight="1">
      <c r="B33" s="61"/>
      <c r="C33" s="60"/>
      <c r="D33" s="24" t="s">
        <v>30</v>
      </c>
      <c r="E33" s="24" t="s">
        <v>30</v>
      </c>
      <c r="F33" s="24" t="s">
        <v>30</v>
      </c>
      <c r="G33" s="19"/>
      <c r="H33" s="8">
        <v>0.80555555555555558</v>
      </c>
      <c r="I33" s="8">
        <v>0.8125</v>
      </c>
      <c r="J33" s="9"/>
      <c r="K33" s="10" t="str">
        <f t="shared" ref="K33:K39" si="6">IFERROR((J33*24*60)/F33,"")</f>
        <v/>
      </c>
      <c r="L33" s="21"/>
      <c r="M33" s="25" t="s">
        <v>51</v>
      </c>
    </row>
    <row r="34" spans="2:13" ht="23.25" customHeight="1">
      <c r="B34" s="61"/>
      <c r="C34" s="60" t="s">
        <v>143</v>
      </c>
      <c r="D34" s="36" t="s">
        <v>14</v>
      </c>
      <c r="E34" s="7">
        <v>1500</v>
      </c>
      <c r="F34" s="62">
        <v>1480</v>
      </c>
      <c r="G34" s="38" t="s">
        <v>135</v>
      </c>
      <c r="H34" s="8">
        <v>0.8125</v>
      </c>
      <c r="I34" s="8">
        <v>0.83680555555555558</v>
      </c>
      <c r="J34" s="9">
        <f t="shared" si="2"/>
        <v>2.430555555555558E-2</v>
      </c>
      <c r="K34" s="10">
        <f t="shared" si="6"/>
        <v>2.3648648648648674E-2</v>
      </c>
      <c r="L34" s="42"/>
      <c r="M34" s="55"/>
    </row>
    <row r="35" spans="2:13" ht="23.25" customHeight="1">
      <c r="B35" s="61"/>
      <c r="C35" s="60"/>
      <c r="D35" s="36" t="s">
        <v>17</v>
      </c>
      <c r="E35" s="7">
        <v>1500</v>
      </c>
      <c r="F35" s="62">
        <v>1480</v>
      </c>
      <c r="G35" s="38" t="s">
        <v>135</v>
      </c>
      <c r="H35" s="8">
        <v>0.83680555555555558</v>
      </c>
      <c r="I35" s="8">
        <v>0.85763888888888884</v>
      </c>
      <c r="J35" s="9">
        <f t="shared" si="2"/>
        <v>2.0833333333333259E-2</v>
      </c>
      <c r="K35" s="10">
        <f t="shared" si="6"/>
        <v>2.0270270270270199E-2</v>
      </c>
      <c r="L35" s="42"/>
      <c r="M35" s="55"/>
    </row>
    <row r="36" spans="2:13" ht="23.25" customHeight="1">
      <c r="B36" s="61"/>
      <c r="C36" s="60"/>
      <c r="D36" s="36" t="s">
        <v>18</v>
      </c>
      <c r="E36" s="7">
        <v>1500</v>
      </c>
      <c r="F36" s="62">
        <v>1520</v>
      </c>
      <c r="G36" s="38" t="s">
        <v>135</v>
      </c>
      <c r="H36" s="8">
        <v>0.85763888888888884</v>
      </c>
      <c r="I36" s="8">
        <v>0.87847222222222221</v>
      </c>
      <c r="J36" s="9">
        <f t="shared" si="2"/>
        <v>2.083333333333337E-2</v>
      </c>
      <c r="K36" s="10">
        <f t="shared" si="6"/>
        <v>1.9736842105263191E-2</v>
      </c>
      <c r="L36" s="42"/>
      <c r="M36" s="55"/>
    </row>
    <row r="37" spans="2:13" ht="23.25" customHeight="1">
      <c r="B37" s="61"/>
      <c r="C37" s="60"/>
      <c r="D37" s="36" t="s">
        <v>19</v>
      </c>
      <c r="E37" s="7">
        <v>1500</v>
      </c>
      <c r="F37" s="62">
        <v>1520</v>
      </c>
      <c r="G37" s="38" t="s">
        <v>135</v>
      </c>
      <c r="H37" s="8">
        <v>0.87847222222222221</v>
      </c>
      <c r="I37" s="8">
        <v>0.89583333333333337</v>
      </c>
      <c r="J37" s="9">
        <f t="shared" si="2"/>
        <v>1.736111111111116E-2</v>
      </c>
      <c r="K37" s="10">
        <f t="shared" si="6"/>
        <v>1.6447368421052679E-2</v>
      </c>
      <c r="L37" s="42"/>
      <c r="M37" s="55"/>
    </row>
    <row r="38" spans="2:13" ht="23.25" customHeight="1">
      <c r="B38" s="61"/>
      <c r="C38" s="60"/>
      <c r="D38" s="36" t="s">
        <v>20</v>
      </c>
      <c r="E38" s="7">
        <v>1500</v>
      </c>
      <c r="F38" s="62">
        <v>1600</v>
      </c>
      <c r="G38" s="38" t="s">
        <v>135</v>
      </c>
      <c r="H38" s="8">
        <v>0.89583333333333337</v>
      </c>
      <c r="I38" s="8">
        <v>0.91666666666666663</v>
      </c>
      <c r="J38" s="9">
        <f t="shared" si="2"/>
        <v>2.0833333333333259E-2</v>
      </c>
      <c r="K38" s="10">
        <f t="shared" si="6"/>
        <v>1.8749999999999933E-2</v>
      </c>
      <c r="L38" s="42"/>
      <c r="M38" s="55"/>
    </row>
    <row r="39" spans="2:13" ht="23.25" customHeight="1">
      <c r="B39" s="61"/>
      <c r="C39" s="60"/>
      <c r="D39" s="36" t="s">
        <v>21</v>
      </c>
      <c r="E39" s="7">
        <v>1500</v>
      </c>
      <c r="F39" s="62">
        <v>1560</v>
      </c>
      <c r="G39" s="38" t="s">
        <v>135</v>
      </c>
      <c r="H39" s="8">
        <v>0.91666666666666663</v>
      </c>
      <c r="I39" s="8">
        <v>0.9375</v>
      </c>
      <c r="J39" s="9">
        <f t="shared" si="2"/>
        <v>2.083333333333337E-2</v>
      </c>
      <c r="K39" s="10">
        <f t="shared" si="6"/>
        <v>1.9230769230769267E-2</v>
      </c>
      <c r="L39" s="42"/>
      <c r="M39" s="55"/>
    </row>
    <row r="40" spans="2:13" ht="23.25" customHeight="1">
      <c r="B40" s="61"/>
      <c r="C40" s="60"/>
      <c r="D40" s="24" t="s">
        <v>28</v>
      </c>
      <c r="E40" s="45"/>
      <c r="F40" s="62">
        <v>33</v>
      </c>
      <c r="G40" s="38"/>
      <c r="H40" s="39"/>
      <c r="I40" s="39"/>
      <c r="J40" s="40"/>
      <c r="K40" s="41"/>
      <c r="L40" s="42"/>
      <c r="M40" s="55"/>
    </row>
    <row r="41" spans="2:13" ht="23.25" customHeight="1">
      <c r="B41" s="61"/>
      <c r="C41" s="60"/>
      <c r="D41" s="24" t="s">
        <v>29</v>
      </c>
      <c r="E41" s="45"/>
      <c r="F41" s="62">
        <v>10</v>
      </c>
      <c r="G41" s="38"/>
      <c r="H41" s="39"/>
      <c r="I41" s="39"/>
      <c r="J41" s="40"/>
      <c r="K41" s="41"/>
      <c r="L41" s="42"/>
      <c r="M41" s="55"/>
    </row>
    <row r="42" spans="2:13" ht="24" customHeight="1">
      <c r="B42" s="56"/>
      <c r="C42" s="28" t="s">
        <v>36</v>
      </c>
      <c r="D42" s="29"/>
      <c r="E42" s="30">
        <f>SUM(E4:E41)</f>
        <v>36000</v>
      </c>
      <c r="F42" s="46">
        <f>SUM(F4:F41)</f>
        <v>36220</v>
      </c>
      <c r="G42" s="64"/>
      <c r="H42" s="64"/>
      <c r="I42" s="65"/>
      <c r="J42" s="64"/>
      <c r="K42" s="64"/>
      <c r="L42" s="64"/>
      <c r="M42" s="55"/>
    </row>
    <row r="43" spans="2:13" ht="24" customHeight="1">
      <c r="C43" s="32"/>
      <c r="I43" s="31"/>
    </row>
    <row r="44" spans="2:13" ht="24" customHeight="1">
      <c r="B44" s="32"/>
      <c r="I44" s="31"/>
    </row>
    <row r="45" spans="2:13" ht="20.25" customHeight="1">
      <c r="I45" s="31"/>
    </row>
    <row r="46" spans="2:13" ht="20.25" customHeight="1">
      <c r="I46" s="31"/>
    </row>
    <row r="47" spans="2:13" ht="20.25" customHeight="1"/>
    <row r="48" spans="2:13" ht="20.25" customHeight="1"/>
    <row r="49" spans="9:12" ht="20.25" customHeight="1">
      <c r="L49" s="3" t="s">
        <v>37</v>
      </c>
    </row>
    <row r="50" spans="9:12" ht="20.25" customHeight="1"/>
    <row r="51" spans="9:12" ht="20.25" customHeight="1"/>
    <row r="52" spans="9:12" ht="21" customHeight="1"/>
    <row r="53" spans="9:12" ht="21" customHeight="1"/>
    <row r="54" spans="9:12" ht="18" customHeight="1"/>
    <row r="55" spans="9:12" ht="18" customHeight="1">
      <c r="I55" s="33"/>
    </row>
    <row r="56" spans="9:12" ht="18" customHeight="1"/>
    <row r="57" spans="9:12" ht="18" customHeight="1"/>
    <row r="58" spans="9:12" ht="18" customHeight="1"/>
    <row r="59" spans="9:12" ht="18" customHeight="1"/>
    <row r="60" spans="9:12" ht="18" customHeight="1"/>
    <row r="61" spans="9:12" ht="18" customHeight="1"/>
    <row r="62" spans="9:12" ht="18" customHeight="1"/>
    <row r="68" spans="2:13" s="34" customFormat="1" ht="27.6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</sheetData>
  <mergeCells count="12">
    <mergeCell ref="M11:M12"/>
    <mergeCell ref="B2:B3"/>
    <mergeCell ref="C2:C3"/>
    <mergeCell ref="D2:D3"/>
    <mergeCell ref="E2:E3"/>
    <mergeCell ref="F2:F3"/>
    <mergeCell ref="G2:G3"/>
    <mergeCell ref="H2:I2"/>
    <mergeCell ref="J2:J3"/>
    <mergeCell ref="K2:K3"/>
    <mergeCell ref="L2:L3"/>
    <mergeCell ref="M2:M3"/>
  </mergeCells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C124-39FB-4A27-A571-351230C568AC}">
  <dimension ref="B2:M76"/>
  <sheetViews>
    <sheetView topLeftCell="A8" zoomScale="80" zoomScaleNormal="80" workbookViewId="0">
      <selection activeCell="E40" sqref="E40:E41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18.7109375" style="3" bestFit="1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 t="s">
        <v>144</v>
      </c>
      <c r="C4" s="18" t="s">
        <v>101</v>
      </c>
      <c r="D4" s="24" t="s">
        <v>14</v>
      </c>
      <c r="E4" s="7">
        <v>1000</v>
      </c>
      <c r="F4" s="7">
        <v>1000</v>
      </c>
      <c r="G4" s="7">
        <v>49</v>
      </c>
      <c r="H4" s="8">
        <v>0.3888888888888889</v>
      </c>
      <c r="I4" s="8">
        <v>0.40277777777777779</v>
      </c>
      <c r="J4" s="9">
        <f>I4-H4</f>
        <v>1.3888888888888895E-2</v>
      </c>
      <c r="K4" s="10">
        <f>IFERROR((J4*24*60)/F4,"")</f>
        <v>2.0000000000000007E-2</v>
      </c>
      <c r="L4" s="25"/>
      <c r="M4" s="4" t="s">
        <v>114</v>
      </c>
    </row>
    <row r="5" spans="2:13" ht="21" customHeight="1">
      <c r="B5" s="22" t="s">
        <v>145</v>
      </c>
      <c r="C5" s="4"/>
      <c r="D5" s="24" t="s">
        <v>17</v>
      </c>
      <c r="E5" s="7">
        <v>1000</v>
      </c>
      <c r="F5" s="7">
        <v>1000</v>
      </c>
      <c r="G5" s="7">
        <v>49</v>
      </c>
      <c r="H5" s="8">
        <v>0.40277777777777779</v>
      </c>
      <c r="I5" s="8">
        <v>0.41666666666666669</v>
      </c>
      <c r="J5" s="9">
        <f>I5-H5</f>
        <v>1.3888888888888895E-2</v>
      </c>
      <c r="K5" s="10">
        <f t="shared" ref="K5:K11" si="0">IFERROR((J5*24*60)/F5,"")</f>
        <v>2.0000000000000007E-2</v>
      </c>
      <c r="L5" s="12"/>
      <c r="M5" s="4"/>
    </row>
    <row r="6" spans="2:13" ht="21" customHeight="1">
      <c r="B6" s="4"/>
      <c r="C6" s="4"/>
      <c r="D6" s="24" t="s">
        <v>18</v>
      </c>
      <c r="E6" s="7">
        <v>1000</v>
      </c>
      <c r="F6" s="7">
        <v>1000</v>
      </c>
      <c r="G6" s="7">
        <v>49</v>
      </c>
      <c r="H6" s="8">
        <v>0.41666666666666669</v>
      </c>
      <c r="I6" s="8">
        <v>0.43055555555555558</v>
      </c>
      <c r="J6" s="9">
        <f>I6-H6</f>
        <v>1.3888888888888895E-2</v>
      </c>
      <c r="K6" s="10">
        <f t="shared" si="0"/>
        <v>2.0000000000000007E-2</v>
      </c>
      <c r="L6" s="4"/>
      <c r="M6" s="4"/>
    </row>
    <row r="7" spans="2:13" ht="21" customHeight="1">
      <c r="B7" s="4"/>
      <c r="C7" s="4"/>
      <c r="D7" s="24" t="s">
        <v>19</v>
      </c>
      <c r="E7" s="7">
        <v>1000</v>
      </c>
      <c r="F7" s="7">
        <v>1000</v>
      </c>
      <c r="G7" s="7">
        <v>49</v>
      </c>
      <c r="H7" s="8">
        <v>0.43055555555555558</v>
      </c>
      <c r="I7" s="8">
        <v>0.44444444444444442</v>
      </c>
      <c r="J7" s="9">
        <f t="shared" ref="J7:J11" si="1">I7-H7</f>
        <v>1.388888888888884E-2</v>
      </c>
      <c r="K7" s="10">
        <f>IFERROR((J7*24*60)/F7,"")</f>
        <v>1.9999999999999928E-2</v>
      </c>
      <c r="L7" s="4"/>
      <c r="M7" s="4"/>
    </row>
    <row r="8" spans="2:13" ht="21" customHeight="1">
      <c r="B8" s="4"/>
      <c r="C8" s="4"/>
      <c r="D8" s="24" t="s">
        <v>20</v>
      </c>
      <c r="E8" s="7">
        <v>1000</v>
      </c>
      <c r="F8" s="7">
        <v>1000</v>
      </c>
      <c r="G8" s="7">
        <v>49</v>
      </c>
      <c r="H8" s="8">
        <v>0.44444444444444442</v>
      </c>
      <c r="I8" s="8">
        <v>0.45833333333333331</v>
      </c>
      <c r="J8" s="9">
        <f t="shared" si="1"/>
        <v>1.3888888888888895E-2</v>
      </c>
      <c r="K8" s="10">
        <f t="shared" si="0"/>
        <v>2.0000000000000007E-2</v>
      </c>
      <c r="L8" s="4"/>
      <c r="M8" s="4"/>
    </row>
    <row r="9" spans="2:13" ht="21" customHeight="1">
      <c r="B9" s="4"/>
      <c r="C9" s="4"/>
      <c r="D9" s="24" t="s">
        <v>21</v>
      </c>
      <c r="E9" s="7">
        <v>1000</v>
      </c>
      <c r="F9" s="7">
        <v>1000</v>
      </c>
      <c r="G9" s="7">
        <v>49</v>
      </c>
      <c r="H9" s="8">
        <v>0.45833333333333331</v>
      </c>
      <c r="I9" s="8">
        <v>0.46875</v>
      </c>
      <c r="J9" s="9">
        <f t="shared" si="1"/>
        <v>1.0416666666666685E-2</v>
      </c>
      <c r="K9" s="10">
        <f t="shared" si="0"/>
        <v>1.5000000000000027E-2</v>
      </c>
      <c r="L9" s="4"/>
      <c r="M9" s="4"/>
    </row>
    <row r="10" spans="2:13" ht="21" customHeight="1">
      <c r="B10" s="4"/>
      <c r="C10" s="4"/>
      <c r="D10" s="24" t="s">
        <v>22</v>
      </c>
      <c r="E10" s="7">
        <v>1000</v>
      </c>
      <c r="F10" s="7">
        <v>1000</v>
      </c>
      <c r="G10" s="7">
        <v>49</v>
      </c>
      <c r="H10" s="8">
        <v>0.46875</v>
      </c>
      <c r="I10" s="8">
        <v>0.47916666666666669</v>
      </c>
      <c r="J10" s="9">
        <f t="shared" si="1"/>
        <v>1.0416666666666685E-2</v>
      </c>
      <c r="K10" s="10">
        <f t="shared" si="0"/>
        <v>1.5000000000000027E-2</v>
      </c>
      <c r="L10" s="4"/>
      <c r="M10" s="4"/>
    </row>
    <row r="11" spans="2:13" ht="21" customHeight="1">
      <c r="B11" s="4"/>
      <c r="C11" s="4"/>
      <c r="D11" s="24" t="s">
        <v>23</v>
      </c>
      <c r="E11" s="7">
        <v>1000</v>
      </c>
      <c r="F11" s="7">
        <v>1000</v>
      </c>
      <c r="G11" s="7">
        <v>49</v>
      </c>
      <c r="H11" s="8">
        <v>0.47916666666666669</v>
      </c>
      <c r="I11" s="8">
        <v>0.49305555555555558</v>
      </c>
      <c r="J11" s="9">
        <f t="shared" si="1"/>
        <v>1.3888888888888895E-2</v>
      </c>
      <c r="K11" s="10">
        <f t="shared" si="0"/>
        <v>2.0000000000000007E-2</v>
      </c>
      <c r="L11" s="4"/>
      <c r="M11" s="4"/>
    </row>
    <row r="12" spans="2:13" ht="23.25" customHeight="1">
      <c r="B12" s="17"/>
      <c r="C12" s="26"/>
      <c r="D12" s="24" t="s">
        <v>24</v>
      </c>
      <c r="E12" s="7">
        <v>1000</v>
      </c>
      <c r="F12" s="7">
        <v>1040</v>
      </c>
      <c r="G12" s="7">
        <v>49</v>
      </c>
      <c r="H12" s="8">
        <v>0.49305555555555558</v>
      </c>
      <c r="I12" s="8">
        <v>0.50694444444444442</v>
      </c>
      <c r="J12" s="9">
        <f t="shared" ref="J12:J47" si="2">I12-H12</f>
        <v>1.388888888888884E-2</v>
      </c>
      <c r="K12" s="10">
        <f t="shared" ref="K12:K25" si="3">IFERROR((J12*24*60)/F12,"")</f>
        <v>1.9230769230769162E-2</v>
      </c>
      <c r="L12" s="21"/>
      <c r="M12" s="4"/>
    </row>
    <row r="13" spans="2:13" ht="23.25" customHeight="1">
      <c r="B13" s="17"/>
      <c r="C13" s="26"/>
      <c r="D13" s="24" t="s">
        <v>25</v>
      </c>
      <c r="E13" s="7">
        <v>1000</v>
      </c>
      <c r="F13" s="7">
        <v>1040</v>
      </c>
      <c r="G13" s="19" t="s">
        <v>33</v>
      </c>
      <c r="H13" s="8">
        <v>0.50694444444444442</v>
      </c>
      <c r="I13" s="8">
        <v>0.52083333333333337</v>
      </c>
      <c r="J13" s="9">
        <f t="shared" si="2"/>
        <v>1.3888888888888951E-2</v>
      </c>
      <c r="K13" s="10">
        <f t="shared" si="3"/>
        <v>1.9230769230769315E-2</v>
      </c>
      <c r="L13" s="21"/>
      <c r="M13" s="4" t="s">
        <v>146</v>
      </c>
    </row>
    <row r="14" spans="2:13" ht="23.25" customHeight="1">
      <c r="B14" s="17"/>
      <c r="C14" s="26"/>
      <c r="D14" s="24" t="s">
        <v>26</v>
      </c>
      <c r="E14" s="7">
        <v>1000</v>
      </c>
      <c r="F14" s="7">
        <v>1000</v>
      </c>
      <c r="G14" s="19" t="s">
        <v>33</v>
      </c>
      <c r="H14" s="8">
        <v>0.52083333333333337</v>
      </c>
      <c r="I14" s="8">
        <v>0.53472222222222221</v>
      </c>
      <c r="J14" s="9">
        <f t="shared" si="2"/>
        <v>1.388888888888884E-2</v>
      </c>
      <c r="K14" s="10">
        <f t="shared" si="3"/>
        <v>1.9999999999999928E-2</v>
      </c>
      <c r="L14" s="21"/>
      <c r="M14" s="4"/>
    </row>
    <row r="15" spans="2:13" ht="23.25" customHeight="1">
      <c r="B15" s="17"/>
      <c r="C15" s="26"/>
      <c r="D15" s="24" t="s">
        <v>27</v>
      </c>
      <c r="E15" s="7">
        <v>1000</v>
      </c>
      <c r="F15" s="7">
        <v>1040</v>
      </c>
      <c r="G15" s="19" t="s">
        <v>33</v>
      </c>
      <c r="H15" s="8">
        <v>0.53472222222222221</v>
      </c>
      <c r="I15" s="8">
        <v>0.54513888888888884</v>
      </c>
      <c r="J15" s="9">
        <f t="shared" si="2"/>
        <v>1.041666666666663E-2</v>
      </c>
      <c r="K15" s="10">
        <f t="shared" si="3"/>
        <v>1.4423076923076872E-2</v>
      </c>
      <c r="L15" s="21"/>
      <c r="M15" s="4"/>
    </row>
    <row r="16" spans="2:13" ht="23.25" customHeight="1">
      <c r="B16" s="17"/>
      <c r="C16" s="26"/>
      <c r="D16" s="24" t="s">
        <v>30</v>
      </c>
      <c r="E16" s="24" t="s">
        <v>30</v>
      </c>
      <c r="F16" s="24" t="s">
        <v>30</v>
      </c>
      <c r="G16" s="19" t="s">
        <v>25</v>
      </c>
      <c r="H16" s="8">
        <v>0.54513888888888884</v>
      </c>
      <c r="I16" s="8">
        <v>0.58680555555555503</v>
      </c>
      <c r="J16" s="9">
        <f t="shared" si="2"/>
        <v>4.1666666666666186E-2</v>
      </c>
      <c r="K16" s="10" t="str">
        <f t="shared" si="3"/>
        <v/>
      </c>
      <c r="L16" s="21"/>
      <c r="M16" s="52" t="s">
        <v>51</v>
      </c>
    </row>
    <row r="17" spans="2:13" ht="23.25" customHeight="1">
      <c r="B17" s="17"/>
      <c r="C17" s="26"/>
      <c r="D17" s="24" t="s">
        <v>49</v>
      </c>
      <c r="E17" s="7">
        <v>1000</v>
      </c>
      <c r="F17" s="7">
        <v>1000</v>
      </c>
      <c r="G17" s="19" t="s">
        <v>147</v>
      </c>
      <c r="H17" s="8">
        <v>0.55555555555555558</v>
      </c>
      <c r="I17" s="8">
        <v>0.59722222222222221</v>
      </c>
      <c r="J17" s="9">
        <f t="shared" si="2"/>
        <v>4.166666666666663E-2</v>
      </c>
      <c r="K17" s="10">
        <f t="shared" si="3"/>
        <v>5.9999999999999942E-2</v>
      </c>
      <c r="L17" s="21"/>
      <c r="M17" s="251" t="s">
        <v>148</v>
      </c>
    </row>
    <row r="18" spans="2:13" ht="23.25" customHeight="1">
      <c r="B18" s="17"/>
      <c r="C18" s="26"/>
      <c r="D18" s="24" t="s">
        <v>50</v>
      </c>
      <c r="E18" s="7">
        <v>1000</v>
      </c>
      <c r="F18" s="7">
        <v>1000</v>
      </c>
      <c r="G18" s="19" t="s">
        <v>147</v>
      </c>
      <c r="H18" s="8">
        <v>0.59722222222222221</v>
      </c>
      <c r="I18" s="8">
        <v>0.64583333333333337</v>
      </c>
      <c r="J18" s="9">
        <f t="shared" si="2"/>
        <v>4.861111111111116E-2</v>
      </c>
      <c r="K18" s="10">
        <f t="shared" si="3"/>
        <v>7.0000000000000076E-2</v>
      </c>
      <c r="L18" s="21"/>
      <c r="M18" s="252"/>
    </row>
    <row r="19" spans="2:13" ht="23.25" customHeight="1">
      <c r="B19" s="17"/>
      <c r="C19" s="26"/>
      <c r="D19" s="24" t="s">
        <v>52</v>
      </c>
      <c r="E19" s="7">
        <v>1000</v>
      </c>
      <c r="F19" s="7">
        <v>1000</v>
      </c>
      <c r="G19" s="19" t="s">
        <v>147</v>
      </c>
      <c r="H19" s="8">
        <v>0.64583333333333337</v>
      </c>
      <c r="I19" s="8">
        <v>0.6875</v>
      </c>
      <c r="J19" s="9">
        <f t="shared" si="2"/>
        <v>4.166666666666663E-2</v>
      </c>
      <c r="K19" s="10">
        <f t="shared" si="3"/>
        <v>5.9999999999999942E-2</v>
      </c>
      <c r="L19" s="21"/>
      <c r="M19" s="253"/>
    </row>
    <row r="20" spans="2:13" ht="23.25" customHeight="1">
      <c r="B20" s="17"/>
      <c r="C20" s="26"/>
      <c r="D20" s="24" t="s">
        <v>54</v>
      </c>
      <c r="E20" s="7">
        <v>1000</v>
      </c>
      <c r="F20" s="7">
        <v>960</v>
      </c>
      <c r="G20" s="19" t="s">
        <v>83</v>
      </c>
      <c r="H20" s="8">
        <v>0.6875</v>
      </c>
      <c r="I20" s="8">
        <v>0.74305555555555558</v>
      </c>
      <c r="J20" s="9">
        <f t="shared" si="2"/>
        <v>5.555555555555558E-2</v>
      </c>
      <c r="K20" s="10">
        <f t="shared" si="3"/>
        <v>8.3333333333333356E-2</v>
      </c>
      <c r="L20" s="21"/>
      <c r="M20" s="42" t="s">
        <v>149</v>
      </c>
    </row>
    <row r="21" spans="2:13" ht="23.25" customHeight="1">
      <c r="B21" s="17"/>
      <c r="C21" s="26"/>
      <c r="D21" s="24" t="s">
        <v>28</v>
      </c>
      <c r="E21" s="7"/>
      <c r="F21" s="7">
        <v>27</v>
      </c>
      <c r="G21" s="19"/>
      <c r="H21" s="8"/>
      <c r="I21" s="8"/>
      <c r="J21" s="9"/>
      <c r="K21" s="10"/>
      <c r="L21" s="21"/>
      <c r="M21" s="55"/>
    </row>
    <row r="22" spans="2:13" ht="23.25" customHeight="1">
      <c r="B22" s="17"/>
      <c r="C22" s="26"/>
      <c r="D22" s="24" t="s">
        <v>29</v>
      </c>
      <c r="E22" s="7"/>
      <c r="F22" s="7">
        <v>16</v>
      </c>
      <c r="G22" s="19"/>
      <c r="H22" s="8"/>
      <c r="I22" s="8"/>
      <c r="J22" s="9"/>
      <c r="K22" s="10"/>
      <c r="L22" s="21"/>
      <c r="M22" s="55"/>
    </row>
    <row r="23" spans="2:13" ht="23.25" customHeight="1">
      <c r="B23" s="17"/>
      <c r="C23" s="55" t="s">
        <v>150</v>
      </c>
      <c r="D23" s="24" t="s">
        <v>20</v>
      </c>
      <c r="E23" s="7">
        <v>1500</v>
      </c>
      <c r="F23" s="7">
        <v>1440</v>
      </c>
      <c r="G23" s="19" t="s">
        <v>33</v>
      </c>
      <c r="H23" s="8">
        <v>0.59375</v>
      </c>
      <c r="I23" s="8">
        <v>0.65625</v>
      </c>
      <c r="J23" s="9">
        <f t="shared" si="2"/>
        <v>6.25E-2</v>
      </c>
      <c r="K23" s="10">
        <f t="shared" si="3"/>
        <v>6.25E-2</v>
      </c>
      <c r="L23" s="21" t="s">
        <v>151</v>
      </c>
      <c r="M23" s="66" t="s">
        <v>152</v>
      </c>
    </row>
    <row r="24" spans="2:13" ht="23.25" customHeight="1">
      <c r="B24" s="17"/>
      <c r="C24" s="26"/>
      <c r="D24" s="24" t="s">
        <v>21</v>
      </c>
      <c r="E24" s="7">
        <v>1500</v>
      </c>
      <c r="F24" s="7">
        <v>1440</v>
      </c>
      <c r="G24" s="19" t="s">
        <v>33</v>
      </c>
      <c r="H24" s="8">
        <v>0.65625</v>
      </c>
      <c r="I24" s="8">
        <v>0.68055555555555558</v>
      </c>
      <c r="J24" s="9">
        <f t="shared" si="2"/>
        <v>2.430555555555558E-2</v>
      </c>
      <c r="K24" s="10">
        <f t="shared" si="3"/>
        <v>2.430555555555558E-2</v>
      </c>
      <c r="L24" s="21" t="s">
        <v>153</v>
      </c>
      <c r="M24" s="67" t="s">
        <v>154</v>
      </c>
    </row>
    <row r="25" spans="2:13" ht="23.25" customHeight="1">
      <c r="B25" s="17"/>
      <c r="C25" s="26"/>
      <c r="D25" s="24" t="s">
        <v>22</v>
      </c>
      <c r="E25" s="7">
        <v>1500</v>
      </c>
      <c r="F25" s="7">
        <v>1584</v>
      </c>
      <c r="G25" s="19" t="s">
        <v>33</v>
      </c>
      <c r="H25" s="8">
        <v>0.68055555555555558</v>
      </c>
      <c r="I25" s="8">
        <v>0.70138888888888884</v>
      </c>
      <c r="J25" s="9">
        <f t="shared" si="2"/>
        <v>2.0833333333333259E-2</v>
      </c>
      <c r="K25" s="10">
        <f t="shared" si="3"/>
        <v>1.8939393939393871E-2</v>
      </c>
      <c r="L25" s="21"/>
      <c r="M25" s="55"/>
    </row>
    <row r="26" spans="2:13" ht="23.25" customHeight="1">
      <c r="B26" s="17"/>
      <c r="C26" s="26"/>
      <c r="D26" s="24" t="s">
        <v>28</v>
      </c>
      <c r="E26" s="7"/>
      <c r="F26" s="7">
        <v>14</v>
      </c>
      <c r="G26" s="19"/>
      <c r="H26" s="8"/>
      <c r="I26" s="8"/>
      <c r="J26" s="9"/>
      <c r="K26" s="10"/>
      <c r="L26" s="21"/>
      <c r="M26" s="55"/>
    </row>
    <row r="27" spans="2:13" ht="23.25" customHeight="1">
      <c r="B27" s="17"/>
      <c r="C27" s="26"/>
      <c r="D27" s="24" t="s">
        <v>29</v>
      </c>
      <c r="E27" s="7"/>
      <c r="F27" s="7">
        <v>4</v>
      </c>
      <c r="G27" s="19"/>
      <c r="H27" s="8"/>
      <c r="I27" s="8"/>
      <c r="J27" s="9"/>
      <c r="K27" s="10"/>
      <c r="L27" s="21"/>
      <c r="M27" s="55"/>
    </row>
    <row r="28" spans="2:13" ht="23.25" customHeight="1">
      <c r="B28" s="17"/>
      <c r="C28" s="55" t="s">
        <v>155</v>
      </c>
      <c r="D28" s="24" t="s">
        <v>14</v>
      </c>
      <c r="E28" s="7">
        <v>1500</v>
      </c>
      <c r="F28" s="7">
        <v>1512</v>
      </c>
      <c r="G28" s="19" t="s">
        <v>33</v>
      </c>
      <c r="H28" s="8">
        <v>0.70138888888888884</v>
      </c>
      <c r="I28" s="8">
        <v>0.72222222222222221</v>
      </c>
      <c r="J28" s="9">
        <f t="shared" ref="J28:J35" si="4">I28-H28</f>
        <v>2.083333333333337E-2</v>
      </c>
      <c r="K28" s="10">
        <f t="shared" ref="K28:K35" si="5">IFERROR((J28*24*60)/F28,"")</f>
        <v>1.9841269841269875E-2</v>
      </c>
      <c r="L28" s="21"/>
      <c r="M28" s="55"/>
    </row>
    <row r="29" spans="2:13" ht="23.25" customHeight="1">
      <c r="B29" s="17"/>
      <c r="C29" s="26"/>
      <c r="D29" s="24" t="s">
        <v>17</v>
      </c>
      <c r="E29" s="7">
        <v>1500</v>
      </c>
      <c r="F29" s="7">
        <v>1488</v>
      </c>
      <c r="G29" s="19" t="s">
        <v>33</v>
      </c>
      <c r="H29" s="8">
        <v>0.72222222222222221</v>
      </c>
      <c r="I29" s="8">
        <v>0.74305555555555558</v>
      </c>
      <c r="J29" s="9">
        <f t="shared" si="4"/>
        <v>2.083333333333337E-2</v>
      </c>
      <c r="K29" s="10">
        <f t="shared" si="5"/>
        <v>2.0161290322580679E-2</v>
      </c>
      <c r="L29" s="21"/>
      <c r="M29" s="55"/>
    </row>
    <row r="30" spans="2:13" ht="23.25" customHeight="1">
      <c r="B30" s="17"/>
      <c r="C30" s="26"/>
      <c r="D30" s="24" t="s">
        <v>18</v>
      </c>
      <c r="E30" s="7">
        <v>1500</v>
      </c>
      <c r="F30" s="7">
        <v>1512</v>
      </c>
      <c r="G30" s="19" t="s">
        <v>33</v>
      </c>
      <c r="H30" s="8">
        <v>0.74305555555555558</v>
      </c>
      <c r="I30" s="8">
        <v>0.76388888888888884</v>
      </c>
      <c r="J30" s="9">
        <f t="shared" si="4"/>
        <v>2.0833333333333259E-2</v>
      </c>
      <c r="K30" s="10">
        <f t="shared" si="5"/>
        <v>1.9841269841269771E-2</v>
      </c>
      <c r="L30" s="21"/>
      <c r="M30" s="55"/>
    </row>
    <row r="31" spans="2:13" ht="23.25" customHeight="1">
      <c r="B31" s="17"/>
      <c r="C31" s="26"/>
      <c r="D31" s="24" t="s">
        <v>19</v>
      </c>
      <c r="E31" s="7">
        <v>1500</v>
      </c>
      <c r="F31" s="7">
        <v>1536</v>
      </c>
      <c r="G31" s="19" t="s">
        <v>33</v>
      </c>
      <c r="H31" s="8">
        <v>0.76388888888888884</v>
      </c>
      <c r="I31" s="8">
        <v>0.78819444444444442</v>
      </c>
      <c r="J31" s="9">
        <f t="shared" si="4"/>
        <v>2.430555555555558E-2</v>
      </c>
      <c r="K31" s="10">
        <f t="shared" si="5"/>
        <v>2.2786458333333356E-2</v>
      </c>
      <c r="L31" s="21"/>
      <c r="M31" s="55"/>
    </row>
    <row r="32" spans="2:13" ht="23.25" customHeight="1">
      <c r="B32" s="17"/>
      <c r="C32" s="26"/>
      <c r="D32" s="24" t="s">
        <v>20</v>
      </c>
      <c r="E32" s="7">
        <v>1500</v>
      </c>
      <c r="F32" s="7">
        <v>1512</v>
      </c>
      <c r="G32" s="19" t="s">
        <v>33</v>
      </c>
      <c r="H32" s="8">
        <v>0.78819444444444442</v>
      </c>
      <c r="I32" s="8">
        <v>0.81597222222222221</v>
      </c>
      <c r="J32" s="9">
        <f t="shared" si="4"/>
        <v>2.777777777777779E-2</v>
      </c>
      <c r="K32" s="10">
        <f t="shared" si="5"/>
        <v>2.6455026455026464E-2</v>
      </c>
      <c r="L32" s="21"/>
      <c r="M32" s="55"/>
    </row>
    <row r="33" spans="2:13" ht="23.25" customHeight="1">
      <c r="B33" s="17"/>
      <c r="C33" s="26"/>
      <c r="D33" s="24" t="s">
        <v>21</v>
      </c>
      <c r="E33" s="7">
        <v>1500</v>
      </c>
      <c r="F33" s="7">
        <v>1512</v>
      </c>
      <c r="G33" s="19" t="s">
        <v>156</v>
      </c>
      <c r="H33" s="8">
        <v>0.81597222222222221</v>
      </c>
      <c r="I33" s="8">
        <v>0.83680555555555558</v>
      </c>
      <c r="J33" s="9">
        <f t="shared" si="4"/>
        <v>2.083333333333337E-2</v>
      </c>
      <c r="K33" s="10">
        <f t="shared" si="5"/>
        <v>1.9841269841269875E-2</v>
      </c>
      <c r="L33" s="21"/>
      <c r="M33" s="55"/>
    </row>
    <row r="34" spans="2:13" ht="23.25" customHeight="1">
      <c r="B34" s="17"/>
      <c r="C34" s="26"/>
      <c r="D34" s="24" t="s">
        <v>22</v>
      </c>
      <c r="E34" s="7">
        <v>1500</v>
      </c>
      <c r="F34" s="7">
        <v>1536</v>
      </c>
      <c r="G34" s="19" t="s">
        <v>156</v>
      </c>
      <c r="H34" s="8">
        <v>0.83680555555555558</v>
      </c>
      <c r="I34" s="8">
        <v>0.85763888888888884</v>
      </c>
      <c r="J34" s="9">
        <f t="shared" si="4"/>
        <v>2.0833333333333259E-2</v>
      </c>
      <c r="K34" s="10">
        <f t="shared" si="5"/>
        <v>1.9531249999999931E-2</v>
      </c>
      <c r="L34" s="21"/>
      <c r="M34" s="55"/>
    </row>
    <row r="35" spans="2:13" ht="23.25" customHeight="1">
      <c r="B35" s="17"/>
      <c r="C35" s="26"/>
      <c r="D35" s="24" t="s">
        <v>23</v>
      </c>
      <c r="E35" s="7">
        <v>1500</v>
      </c>
      <c r="F35" s="7">
        <v>1416</v>
      </c>
      <c r="G35" s="19" t="s">
        <v>156</v>
      </c>
      <c r="H35" s="8">
        <v>0.85763888888888884</v>
      </c>
      <c r="I35" s="8">
        <v>0.875</v>
      </c>
      <c r="J35" s="9">
        <f t="shared" si="4"/>
        <v>1.736111111111116E-2</v>
      </c>
      <c r="K35" s="10">
        <f t="shared" si="5"/>
        <v>1.7655367231638467E-2</v>
      </c>
      <c r="L35" s="21"/>
      <c r="M35" s="55"/>
    </row>
    <row r="36" spans="2:13" ht="23.25" customHeight="1">
      <c r="B36" s="17"/>
      <c r="C36" s="26"/>
      <c r="D36" s="24" t="s">
        <v>24</v>
      </c>
      <c r="E36" s="7">
        <v>1500</v>
      </c>
      <c r="F36" s="7">
        <v>1464</v>
      </c>
      <c r="G36" s="19" t="s">
        <v>156</v>
      </c>
      <c r="H36" s="8">
        <v>0.875</v>
      </c>
      <c r="I36" s="8">
        <v>0.88888888888888884</v>
      </c>
      <c r="J36" s="9">
        <f t="shared" ref="J36" si="6">I36-H36</f>
        <v>1.388888888888884E-2</v>
      </c>
      <c r="K36" s="10">
        <f t="shared" ref="K36" si="7">IFERROR((J36*24*60)/F36,"")</f>
        <v>1.3661202185792301E-2</v>
      </c>
      <c r="L36" s="21"/>
      <c r="M36" s="55"/>
    </row>
    <row r="37" spans="2:13" ht="23.25" customHeight="1">
      <c r="B37" s="17"/>
      <c r="C37" s="26"/>
      <c r="D37" s="24" t="s">
        <v>28</v>
      </c>
      <c r="E37" s="7"/>
      <c r="F37" s="7">
        <v>17</v>
      </c>
      <c r="G37" s="19"/>
      <c r="H37" s="8"/>
      <c r="I37" s="8"/>
      <c r="J37" s="9"/>
      <c r="K37" s="20"/>
      <c r="L37" s="21"/>
      <c r="M37" s="55"/>
    </row>
    <row r="38" spans="2:13" ht="23.25" customHeight="1">
      <c r="B38" s="17"/>
      <c r="C38" s="26"/>
      <c r="D38" s="24" t="s">
        <v>29</v>
      </c>
      <c r="E38" s="7"/>
      <c r="F38" s="63">
        <v>12</v>
      </c>
      <c r="G38" s="47"/>
      <c r="H38" s="48"/>
      <c r="I38" s="48"/>
      <c r="J38" s="9"/>
      <c r="K38" s="50"/>
      <c r="L38" s="51"/>
      <c r="M38" s="55"/>
    </row>
    <row r="39" spans="2:13" ht="23.25" customHeight="1">
      <c r="B39" s="61"/>
      <c r="C39" s="60"/>
      <c r="D39" s="24" t="s">
        <v>30</v>
      </c>
      <c r="E39" s="24" t="s">
        <v>30</v>
      </c>
      <c r="F39" s="24" t="s">
        <v>30</v>
      </c>
      <c r="G39" s="19" t="s">
        <v>156</v>
      </c>
      <c r="H39" s="8">
        <v>0.88888888888888884</v>
      </c>
      <c r="I39" s="8">
        <v>0.89583333333333337</v>
      </c>
      <c r="J39" s="9">
        <f t="shared" si="2"/>
        <v>6.9444444444445308E-3</v>
      </c>
      <c r="K39" s="10" t="str">
        <f t="shared" ref="K39:K41" si="8">IFERROR((J39*24*60)/F39,"")</f>
        <v/>
      </c>
      <c r="L39" s="21"/>
      <c r="M39" s="25" t="s">
        <v>51</v>
      </c>
    </row>
    <row r="40" spans="2:13" ht="23.25" customHeight="1">
      <c r="B40" s="61"/>
      <c r="C40" s="60" t="s">
        <v>94</v>
      </c>
      <c r="D40" s="36" t="s">
        <v>14</v>
      </c>
      <c r="E40" s="7">
        <v>1500</v>
      </c>
      <c r="F40" s="62">
        <v>1488</v>
      </c>
      <c r="G40" s="19" t="s">
        <v>156</v>
      </c>
      <c r="H40" s="8">
        <v>0.89583333333333337</v>
      </c>
      <c r="I40" s="8">
        <v>0.91319444444444442</v>
      </c>
      <c r="J40" s="9">
        <f t="shared" si="2"/>
        <v>1.7361111111111049E-2</v>
      </c>
      <c r="K40" s="10">
        <f t="shared" si="8"/>
        <v>1.6801075268817144E-2</v>
      </c>
      <c r="L40" s="42"/>
      <c r="M40" s="55"/>
    </row>
    <row r="41" spans="2:13" ht="23.25" customHeight="1">
      <c r="B41" s="61"/>
      <c r="C41" s="60"/>
      <c r="D41" s="36" t="s">
        <v>17</v>
      </c>
      <c r="E41" s="7">
        <v>1500</v>
      </c>
      <c r="F41" s="62">
        <v>1488</v>
      </c>
      <c r="G41" s="19" t="s">
        <v>156</v>
      </c>
      <c r="H41" s="8">
        <v>0.91319444444444442</v>
      </c>
      <c r="I41" s="8">
        <v>0.93055555555555558</v>
      </c>
      <c r="J41" s="9">
        <f t="shared" si="2"/>
        <v>1.736111111111116E-2</v>
      </c>
      <c r="K41" s="10">
        <f t="shared" si="8"/>
        <v>1.6801075268817252E-2</v>
      </c>
      <c r="L41" s="42"/>
      <c r="M41" s="55"/>
    </row>
    <row r="42" spans="2:13" ht="23.25" customHeight="1">
      <c r="B42" s="61"/>
      <c r="C42" s="60"/>
      <c r="D42" s="24" t="s">
        <v>28</v>
      </c>
      <c r="E42" s="45"/>
      <c r="F42" s="62">
        <v>7</v>
      </c>
      <c r="G42" s="38"/>
      <c r="H42" s="39"/>
      <c r="I42" s="39"/>
      <c r="J42" s="9"/>
      <c r="K42" s="41"/>
      <c r="L42" s="42"/>
      <c r="M42" s="55"/>
    </row>
    <row r="43" spans="2:13" ht="23.25" customHeight="1">
      <c r="B43" s="61"/>
      <c r="C43" s="60"/>
      <c r="D43" s="24" t="s">
        <v>29</v>
      </c>
      <c r="E43" s="45"/>
      <c r="F43" s="62">
        <v>4</v>
      </c>
      <c r="G43" s="38"/>
      <c r="H43" s="39"/>
      <c r="I43" s="39"/>
      <c r="J43" s="9"/>
      <c r="K43" s="41"/>
      <c r="L43" s="42"/>
      <c r="M43" s="55"/>
    </row>
    <row r="44" spans="2:13" ht="23.25">
      <c r="B44" s="61"/>
      <c r="C44" s="60" t="s">
        <v>157</v>
      </c>
      <c r="D44" s="24" t="s">
        <v>14</v>
      </c>
      <c r="E44" s="45">
        <v>100</v>
      </c>
      <c r="F44" s="62">
        <v>0</v>
      </c>
      <c r="G44" s="38" t="s">
        <v>23</v>
      </c>
      <c r="H44" s="39">
        <v>0.70833333333333337</v>
      </c>
      <c r="I44" s="39">
        <v>0.79166666666666663</v>
      </c>
      <c r="J44" s="9">
        <f t="shared" si="2"/>
        <v>8.3333333333333259E-2</v>
      </c>
      <c r="K44" s="41"/>
      <c r="L44" s="42"/>
      <c r="M44" s="55"/>
    </row>
    <row r="45" spans="2:13" ht="23.25">
      <c r="B45" s="61"/>
      <c r="C45" s="60"/>
      <c r="D45" s="24" t="s">
        <v>29</v>
      </c>
      <c r="E45" s="45"/>
      <c r="F45" s="62">
        <v>5</v>
      </c>
      <c r="G45" s="38"/>
      <c r="H45" s="39"/>
      <c r="I45" s="39"/>
      <c r="J45" s="9"/>
      <c r="K45" s="41"/>
      <c r="L45" s="42"/>
      <c r="M45" s="55"/>
    </row>
    <row r="46" spans="2:13" ht="23.25">
      <c r="B46" s="61"/>
      <c r="C46" s="60"/>
      <c r="D46" s="24" t="s">
        <v>44</v>
      </c>
      <c r="E46" s="45"/>
      <c r="F46" s="62">
        <v>80</v>
      </c>
      <c r="G46" s="38"/>
      <c r="H46" s="39"/>
      <c r="I46" s="39"/>
      <c r="J46" s="9"/>
      <c r="K46" s="41"/>
      <c r="L46" s="42"/>
      <c r="M46" s="55"/>
    </row>
    <row r="47" spans="2:13" ht="23.25">
      <c r="B47" s="61"/>
      <c r="C47" s="60" t="s">
        <v>158</v>
      </c>
      <c r="D47" s="24" t="s">
        <v>14</v>
      </c>
      <c r="E47" s="45">
        <v>100</v>
      </c>
      <c r="F47" s="62">
        <v>0</v>
      </c>
      <c r="G47" s="38" t="s">
        <v>23</v>
      </c>
      <c r="H47" s="39">
        <v>0.70833333333333337</v>
      </c>
      <c r="I47" s="39">
        <v>0.79166666666666663</v>
      </c>
      <c r="J47" s="9">
        <f t="shared" si="2"/>
        <v>8.3333333333333259E-2</v>
      </c>
      <c r="K47" s="41"/>
      <c r="L47" s="42"/>
      <c r="M47" s="55"/>
    </row>
    <row r="48" spans="2:13" ht="23.25">
      <c r="B48" s="61"/>
      <c r="C48" s="60"/>
      <c r="D48" s="24" t="s">
        <v>29</v>
      </c>
      <c r="E48" s="45"/>
      <c r="F48" s="62">
        <v>7</v>
      </c>
      <c r="G48" s="38"/>
      <c r="H48" s="39"/>
      <c r="I48" s="39"/>
      <c r="J48" s="9"/>
      <c r="K48" s="41"/>
      <c r="L48" s="42"/>
      <c r="M48" s="55"/>
    </row>
    <row r="49" spans="2:13" ht="23.25">
      <c r="B49" s="61"/>
      <c r="C49" s="60"/>
      <c r="D49" s="24" t="s">
        <v>44</v>
      </c>
      <c r="E49" s="45"/>
      <c r="F49" s="62">
        <v>65</v>
      </c>
      <c r="G49" s="38"/>
      <c r="H49" s="39"/>
      <c r="I49" s="39"/>
      <c r="J49" s="9"/>
      <c r="K49" s="41"/>
      <c r="L49" s="42"/>
      <c r="M49" s="55"/>
    </row>
    <row r="50" spans="2:13" ht="24" customHeight="1">
      <c r="B50" s="56"/>
      <c r="C50" s="28" t="s">
        <v>36</v>
      </c>
      <c r="D50" s="29"/>
      <c r="E50" s="30">
        <f>SUM(E4:E49)</f>
        <v>37200</v>
      </c>
      <c r="F50" s="46">
        <f>SUM(F4:F49)</f>
        <v>37266</v>
      </c>
      <c r="G50" s="64"/>
      <c r="H50" s="64"/>
      <c r="I50" s="65"/>
      <c r="J50" s="64"/>
      <c r="K50" s="64"/>
      <c r="L50" s="64"/>
      <c r="M50" s="55"/>
    </row>
    <row r="51" spans="2:13" ht="24" customHeight="1">
      <c r="C51" s="32"/>
      <c r="I51" s="31"/>
    </row>
    <row r="52" spans="2:13" ht="24" customHeight="1">
      <c r="B52" s="32"/>
      <c r="I52" s="31"/>
    </row>
    <row r="53" spans="2:13" ht="20.25" customHeight="1">
      <c r="I53" s="31"/>
    </row>
    <row r="54" spans="2:13" ht="20.25" customHeight="1">
      <c r="I54" s="31"/>
    </row>
    <row r="55" spans="2:13" ht="20.25" customHeight="1"/>
    <row r="56" spans="2:13" ht="20.25" customHeight="1"/>
    <row r="57" spans="2:13" ht="20.25" customHeight="1">
      <c r="L57" s="3" t="s">
        <v>37</v>
      </c>
    </row>
    <row r="58" spans="2:13" ht="20.25" customHeight="1"/>
    <row r="59" spans="2:13" ht="20.25" customHeight="1"/>
    <row r="60" spans="2:13" ht="21" customHeight="1"/>
    <row r="61" spans="2:13" ht="21" customHeight="1"/>
    <row r="62" spans="2:13" ht="18" customHeight="1"/>
    <row r="63" spans="2:13" ht="18" customHeight="1">
      <c r="I63" s="33"/>
    </row>
    <row r="64" spans="2:13" ht="18" customHeight="1"/>
    <row r="65" spans="2:13" ht="18" customHeight="1"/>
    <row r="66" spans="2:13" ht="18" customHeight="1"/>
    <row r="67" spans="2:13" ht="18" customHeight="1"/>
    <row r="68" spans="2:13" ht="18" customHeight="1"/>
    <row r="69" spans="2:13" ht="18" customHeight="1"/>
    <row r="70" spans="2:13" ht="18" customHeight="1"/>
    <row r="76" spans="2:13" s="34" customFormat="1" ht="27.6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</sheetData>
  <mergeCells count="12">
    <mergeCell ref="M17:M19"/>
    <mergeCell ref="B2:B3"/>
    <mergeCell ref="C2:C3"/>
    <mergeCell ref="D2:D3"/>
    <mergeCell ref="E2:E3"/>
    <mergeCell ref="F2:F3"/>
    <mergeCell ref="G2:G3"/>
    <mergeCell ref="H2:I2"/>
    <mergeCell ref="J2:J3"/>
    <mergeCell ref="K2:K3"/>
    <mergeCell ref="L2:L3"/>
    <mergeCell ref="M2:M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3EBB-DA2E-4422-94F3-6FCA24774C86}">
  <dimension ref="B2:M64"/>
  <sheetViews>
    <sheetView zoomScale="80" zoomScaleNormal="80" workbookViewId="0">
      <selection activeCell="H40" sqref="H40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3" customWidth="1"/>
    <col min="6" max="7" width="14.28515625" style="3" customWidth="1"/>
    <col min="8" max="10" width="11.7109375" style="3" customWidth="1"/>
    <col min="11" max="11" width="17" style="3" customWidth="1"/>
    <col min="12" max="12" width="18.7109375" style="3" bestFit="1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 t="s">
        <v>159</v>
      </c>
      <c r="C4" s="18" t="s">
        <v>94</v>
      </c>
      <c r="D4" s="24" t="s">
        <v>14</v>
      </c>
      <c r="E4" s="7">
        <v>1500</v>
      </c>
      <c r="F4" s="7">
        <v>1512</v>
      </c>
      <c r="G4" s="7">
        <v>52</v>
      </c>
      <c r="H4" s="8">
        <v>0.3888888888888889</v>
      </c>
      <c r="I4" s="8">
        <v>0.40972222222222221</v>
      </c>
      <c r="J4" s="9">
        <f>I4-H4</f>
        <v>2.0833333333333315E-2</v>
      </c>
      <c r="K4" s="10">
        <f>IFERROR((J4*24*60)/F4,"")</f>
        <v>1.9841269841269823E-2</v>
      </c>
      <c r="L4" s="25"/>
      <c r="M4" s="4" t="s">
        <v>15</v>
      </c>
    </row>
    <row r="5" spans="2:13" ht="21" customHeight="1">
      <c r="B5" s="22" t="s">
        <v>160</v>
      </c>
      <c r="C5" s="4"/>
      <c r="D5" s="24" t="s">
        <v>17</v>
      </c>
      <c r="E5" s="7">
        <v>1500</v>
      </c>
      <c r="F5" s="7">
        <v>1584</v>
      </c>
      <c r="G5" s="7">
        <v>52</v>
      </c>
      <c r="H5" s="8">
        <v>0.40972222222222221</v>
      </c>
      <c r="I5" s="8">
        <v>0.43402777777777779</v>
      </c>
      <c r="J5" s="9">
        <f>I5-H5</f>
        <v>2.430555555555558E-2</v>
      </c>
      <c r="K5" s="10">
        <f t="shared" ref="K5:K33" si="0">IFERROR((J5*24*60)/F5,"")</f>
        <v>2.2095959595959617E-2</v>
      </c>
      <c r="L5" s="12"/>
      <c r="M5" s="4"/>
    </row>
    <row r="6" spans="2:13" ht="21" customHeight="1">
      <c r="B6" s="4"/>
      <c r="C6" s="4"/>
      <c r="D6" s="24" t="s">
        <v>18</v>
      </c>
      <c r="E6" s="7">
        <v>1500</v>
      </c>
      <c r="F6" s="7">
        <v>1512</v>
      </c>
      <c r="G6" s="7">
        <v>52</v>
      </c>
      <c r="H6" s="8">
        <v>0.43402777777777779</v>
      </c>
      <c r="I6" s="8">
        <v>0.4513888888888889</v>
      </c>
      <c r="J6" s="9">
        <f>I6-H6</f>
        <v>1.7361111111111105E-2</v>
      </c>
      <c r="K6" s="10">
        <f t="shared" si="0"/>
        <v>1.653439153439153E-2</v>
      </c>
      <c r="L6" s="4"/>
      <c r="M6" s="4"/>
    </row>
    <row r="7" spans="2:13" ht="21" customHeight="1">
      <c r="B7" s="4"/>
      <c r="C7" s="4"/>
      <c r="D7" s="24" t="s">
        <v>19</v>
      </c>
      <c r="E7" s="7">
        <v>1500</v>
      </c>
      <c r="F7" s="7">
        <v>1464</v>
      </c>
      <c r="G7" s="7">
        <v>48</v>
      </c>
      <c r="H7" s="8">
        <v>0.4513888888888889</v>
      </c>
      <c r="I7" s="8">
        <v>0.46875</v>
      </c>
      <c r="J7" s="9">
        <f>I7-H7</f>
        <v>1.7361111111111105E-2</v>
      </c>
      <c r="K7" s="10">
        <f t="shared" si="0"/>
        <v>1.7076502732240432E-2</v>
      </c>
      <c r="L7" s="4"/>
      <c r="M7" s="4"/>
    </row>
    <row r="8" spans="2:13" ht="21" customHeight="1">
      <c r="B8" s="4"/>
      <c r="C8" s="4"/>
      <c r="D8" s="24" t="s">
        <v>20</v>
      </c>
      <c r="E8" s="7">
        <v>1500</v>
      </c>
      <c r="F8" s="7">
        <v>1536</v>
      </c>
      <c r="G8" s="7">
        <v>48</v>
      </c>
      <c r="H8" s="8">
        <v>0.46875</v>
      </c>
      <c r="I8" s="8">
        <v>0.48958333333333331</v>
      </c>
      <c r="J8" s="9">
        <f t="shared" ref="J8:J33" si="1">I8-H8</f>
        <v>2.0833333333333315E-2</v>
      </c>
      <c r="K8" s="10">
        <f t="shared" si="0"/>
        <v>1.9531249999999983E-2</v>
      </c>
      <c r="L8" s="4"/>
      <c r="M8" s="4" t="s">
        <v>161</v>
      </c>
    </row>
    <row r="9" spans="2:13" ht="21" customHeight="1">
      <c r="B9" s="4"/>
      <c r="C9" s="4"/>
      <c r="D9" s="24" t="s">
        <v>21</v>
      </c>
      <c r="E9" s="7">
        <v>1500</v>
      </c>
      <c r="F9" s="7">
        <v>1512</v>
      </c>
      <c r="G9" s="7">
        <v>48</v>
      </c>
      <c r="H9" s="8">
        <v>0.48958333333333331</v>
      </c>
      <c r="I9" s="8">
        <v>0.51041666666666663</v>
      </c>
      <c r="J9" s="9">
        <f t="shared" si="1"/>
        <v>2.0833333333333315E-2</v>
      </c>
      <c r="K9" s="10">
        <f t="shared" si="0"/>
        <v>1.9841269841269823E-2</v>
      </c>
      <c r="L9" s="4"/>
      <c r="M9" s="4"/>
    </row>
    <row r="10" spans="2:13" ht="21" customHeight="1">
      <c r="B10" s="4"/>
      <c r="C10" s="4"/>
      <c r="D10" s="24" t="s">
        <v>22</v>
      </c>
      <c r="E10" s="7">
        <v>1500</v>
      </c>
      <c r="F10" s="7">
        <v>1488</v>
      </c>
      <c r="G10" s="7">
        <v>48</v>
      </c>
      <c r="H10" s="8">
        <v>0.51041666666666663</v>
      </c>
      <c r="I10" s="8">
        <v>0.53125</v>
      </c>
      <c r="J10" s="9">
        <f t="shared" si="1"/>
        <v>2.083333333333337E-2</v>
      </c>
      <c r="K10" s="10">
        <f t="shared" si="0"/>
        <v>2.0161290322580679E-2</v>
      </c>
      <c r="L10" s="4"/>
      <c r="M10" s="4"/>
    </row>
    <row r="11" spans="2:13" ht="21" customHeight="1">
      <c r="B11" s="4"/>
      <c r="C11" s="4"/>
      <c r="D11" s="24" t="s">
        <v>23</v>
      </c>
      <c r="E11" s="7">
        <v>1500</v>
      </c>
      <c r="F11" s="7">
        <v>1488</v>
      </c>
      <c r="G11" s="7">
        <v>48</v>
      </c>
      <c r="H11" s="8">
        <v>0.53125</v>
      </c>
      <c r="I11" s="8">
        <v>0.55208333333333337</v>
      </c>
      <c r="J11" s="9">
        <f t="shared" si="1"/>
        <v>2.083333333333337E-2</v>
      </c>
      <c r="K11" s="10">
        <f t="shared" si="0"/>
        <v>2.0161290322580679E-2</v>
      </c>
      <c r="L11" s="4"/>
      <c r="M11" s="4"/>
    </row>
    <row r="12" spans="2:13" ht="23.25" customHeight="1">
      <c r="B12" s="17"/>
      <c r="C12" s="26"/>
      <c r="D12" s="24" t="s">
        <v>24</v>
      </c>
      <c r="E12" s="7">
        <v>1500</v>
      </c>
      <c r="F12" s="7">
        <v>1512</v>
      </c>
      <c r="G12" s="7">
        <v>48</v>
      </c>
      <c r="H12" s="8">
        <v>0.55208333333333337</v>
      </c>
      <c r="I12" s="8">
        <v>0.57291666666666663</v>
      </c>
      <c r="J12" s="9">
        <f>I12-H12</f>
        <v>2.0833333333333259E-2</v>
      </c>
      <c r="K12" s="10">
        <f t="shared" si="0"/>
        <v>1.9841269841269771E-2</v>
      </c>
      <c r="L12" s="21"/>
      <c r="M12" s="4"/>
    </row>
    <row r="13" spans="2:13" ht="23.25" customHeight="1">
      <c r="B13" s="17"/>
      <c r="C13" s="26"/>
      <c r="D13" s="24" t="s">
        <v>28</v>
      </c>
      <c r="E13" s="7"/>
      <c r="F13" s="7">
        <v>0</v>
      </c>
      <c r="G13" s="19"/>
      <c r="H13" s="8"/>
      <c r="I13" s="8"/>
      <c r="J13" s="9"/>
      <c r="K13" s="10"/>
      <c r="L13" s="21"/>
      <c r="M13" s="55"/>
    </row>
    <row r="14" spans="2:13" ht="23.25" customHeight="1">
      <c r="B14" s="17"/>
      <c r="C14" s="26"/>
      <c r="D14" s="24" t="s">
        <v>29</v>
      </c>
      <c r="E14" s="7"/>
      <c r="F14" s="7">
        <v>12</v>
      </c>
      <c r="G14" s="19"/>
      <c r="H14" s="8"/>
      <c r="I14" s="8"/>
      <c r="J14" s="9"/>
      <c r="K14" s="10"/>
      <c r="L14" s="21"/>
      <c r="M14" s="55"/>
    </row>
    <row r="15" spans="2:13" ht="23.25" customHeight="1">
      <c r="B15" s="17"/>
      <c r="C15" s="26"/>
      <c r="D15" s="24" t="s">
        <v>30</v>
      </c>
      <c r="E15" s="24" t="s">
        <v>30</v>
      </c>
      <c r="F15" s="24" t="s">
        <v>30</v>
      </c>
      <c r="G15" s="19" t="s">
        <v>26</v>
      </c>
      <c r="H15" s="8">
        <v>0.57291666666666663</v>
      </c>
      <c r="I15" s="8">
        <v>0.61458333333333337</v>
      </c>
      <c r="J15" s="9">
        <f t="shared" ref="J15:J16" si="2">I15-H15</f>
        <v>4.1666666666666741E-2</v>
      </c>
      <c r="K15" s="10" t="str">
        <f t="shared" si="0"/>
        <v/>
      </c>
      <c r="L15" s="21"/>
      <c r="M15" s="25" t="s">
        <v>51</v>
      </c>
    </row>
    <row r="16" spans="2:13" ht="23.25" customHeight="1">
      <c r="B16" s="17"/>
      <c r="C16" s="55" t="s">
        <v>162</v>
      </c>
      <c r="D16" s="24" t="s">
        <v>14</v>
      </c>
      <c r="E16" s="7">
        <v>1500</v>
      </c>
      <c r="F16" s="7">
        <v>1480</v>
      </c>
      <c r="G16" s="19" t="s">
        <v>103</v>
      </c>
      <c r="H16" s="8">
        <v>0.62152777777777779</v>
      </c>
      <c r="I16" s="8">
        <v>0.64930555555555558</v>
      </c>
      <c r="J16" s="9">
        <f t="shared" si="2"/>
        <v>2.777777777777779E-2</v>
      </c>
      <c r="K16" s="10">
        <f t="shared" si="0"/>
        <v>2.7027027027027035E-2</v>
      </c>
      <c r="L16" s="21"/>
      <c r="M16" s="55" t="s">
        <v>163</v>
      </c>
    </row>
    <row r="17" spans="2:13" ht="23.25" customHeight="1">
      <c r="B17" s="17"/>
      <c r="C17" s="26"/>
      <c r="D17" s="24" t="s">
        <v>17</v>
      </c>
      <c r="E17" s="7">
        <v>1500</v>
      </c>
      <c r="F17" s="7">
        <v>1520</v>
      </c>
      <c r="G17" s="19" t="s">
        <v>135</v>
      </c>
      <c r="H17" s="8">
        <v>0.64930555555555558</v>
      </c>
      <c r="I17" s="8">
        <v>0.67361111111111116</v>
      </c>
      <c r="J17" s="9">
        <f t="shared" si="1"/>
        <v>2.430555555555558E-2</v>
      </c>
      <c r="K17" s="10">
        <f t="shared" si="0"/>
        <v>2.3026315789473707E-2</v>
      </c>
      <c r="L17" s="21"/>
      <c r="M17" s="55"/>
    </row>
    <row r="18" spans="2:13" ht="23.25" customHeight="1">
      <c r="B18" s="17"/>
      <c r="C18" s="26"/>
      <c r="D18" s="24" t="s">
        <v>164</v>
      </c>
      <c r="E18" s="7">
        <v>2250</v>
      </c>
      <c r="F18" s="7">
        <v>2280</v>
      </c>
      <c r="G18" s="19" t="s">
        <v>135</v>
      </c>
      <c r="H18" s="8">
        <v>0.67361111111111116</v>
      </c>
      <c r="I18" s="8">
        <v>0.69791666666666663</v>
      </c>
      <c r="J18" s="9">
        <f t="shared" si="1"/>
        <v>2.4305555555555469E-2</v>
      </c>
      <c r="K18" s="10">
        <f t="shared" si="0"/>
        <v>1.53508771929824E-2</v>
      </c>
      <c r="L18" s="21"/>
      <c r="M18" s="55"/>
    </row>
    <row r="19" spans="2:13" ht="23.25" customHeight="1">
      <c r="B19" s="17"/>
      <c r="C19" s="26"/>
      <c r="D19" s="24" t="s">
        <v>28</v>
      </c>
      <c r="E19" s="7"/>
      <c r="F19" s="7">
        <v>0</v>
      </c>
      <c r="G19" s="19"/>
      <c r="H19" s="8"/>
      <c r="I19" s="8"/>
      <c r="J19" s="9"/>
      <c r="K19" s="10"/>
      <c r="L19" s="21"/>
      <c r="M19" s="55"/>
    </row>
    <row r="20" spans="2:13" ht="23.25" customHeight="1">
      <c r="B20" s="17"/>
      <c r="C20" s="26"/>
      <c r="D20" s="24" t="s">
        <v>29</v>
      </c>
      <c r="E20" s="7"/>
      <c r="F20" s="7">
        <v>4</v>
      </c>
      <c r="G20" s="19"/>
      <c r="H20" s="8"/>
      <c r="I20" s="8"/>
      <c r="J20" s="9"/>
      <c r="K20" s="10"/>
      <c r="L20" s="21"/>
      <c r="M20" s="55"/>
    </row>
    <row r="21" spans="2:13" ht="23.25" customHeight="1">
      <c r="B21" s="17"/>
      <c r="C21" s="26"/>
      <c r="D21" s="24" t="s">
        <v>30</v>
      </c>
      <c r="E21" s="69" t="s">
        <v>30</v>
      </c>
      <c r="F21" s="69" t="s">
        <v>30</v>
      </c>
      <c r="G21" s="19" t="s">
        <v>135</v>
      </c>
      <c r="H21" s="8">
        <v>0.69791666666666663</v>
      </c>
      <c r="I21" s="8">
        <v>0.71527777777777779</v>
      </c>
      <c r="J21" s="9">
        <f t="shared" si="1"/>
        <v>1.736111111111116E-2</v>
      </c>
      <c r="K21" s="10" t="str">
        <f t="shared" si="0"/>
        <v/>
      </c>
      <c r="L21" s="21"/>
      <c r="M21" s="55" t="s">
        <v>51</v>
      </c>
    </row>
    <row r="22" spans="2:13" ht="23.25" customHeight="1">
      <c r="B22" s="17"/>
      <c r="C22" s="26" t="s">
        <v>165</v>
      </c>
      <c r="D22" s="24" t="s">
        <v>14</v>
      </c>
      <c r="E22" s="7">
        <v>1500</v>
      </c>
      <c r="F22" s="7">
        <v>1464</v>
      </c>
      <c r="G22" s="19" t="s">
        <v>156</v>
      </c>
      <c r="H22" s="8">
        <v>0.71527777777777779</v>
      </c>
      <c r="I22" s="8">
        <v>0.74305555555555558</v>
      </c>
      <c r="J22" s="9">
        <f t="shared" si="1"/>
        <v>2.777777777777779E-2</v>
      </c>
      <c r="K22" s="10">
        <f t="shared" si="0"/>
        <v>2.7322404371584709E-2</v>
      </c>
      <c r="L22" s="21"/>
      <c r="M22" s="55" t="s">
        <v>166</v>
      </c>
    </row>
    <row r="23" spans="2:13" ht="23.25" customHeight="1">
      <c r="B23" s="17"/>
      <c r="C23" s="26"/>
      <c r="D23" s="24" t="s">
        <v>17</v>
      </c>
      <c r="E23" s="7">
        <v>1500</v>
      </c>
      <c r="F23" s="7">
        <v>1488</v>
      </c>
      <c r="G23" s="19" t="s">
        <v>156</v>
      </c>
      <c r="H23" s="8">
        <v>0.74305555555555558</v>
      </c>
      <c r="I23" s="8">
        <v>0.77083333333333337</v>
      </c>
      <c r="J23" s="9">
        <f t="shared" si="1"/>
        <v>2.777777777777779E-2</v>
      </c>
      <c r="K23" s="10">
        <f t="shared" si="0"/>
        <v>2.6881720430107538E-2</v>
      </c>
      <c r="L23" s="21"/>
      <c r="M23" s="55"/>
    </row>
    <row r="24" spans="2:13" ht="23.25" customHeight="1">
      <c r="B24" s="17"/>
      <c r="C24" s="26"/>
      <c r="D24" s="24" t="s">
        <v>18</v>
      </c>
      <c r="E24" s="7">
        <v>1500</v>
      </c>
      <c r="F24" s="7">
        <v>1488</v>
      </c>
      <c r="G24" s="19" t="s">
        <v>156</v>
      </c>
      <c r="H24" s="8">
        <v>0.77083333333333337</v>
      </c>
      <c r="I24" s="8">
        <v>0.79513888888888884</v>
      </c>
      <c r="J24" s="9">
        <f t="shared" si="1"/>
        <v>2.4305555555555469E-2</v>
      </c>
      <c r="K24" s="10">
        <f t="shared" si="0"/>
        <v>2.3521505376343999E-2</v>
      </c>
      <c r="L24" s="21"/>
      <c r="M24" s="55"/>
    </row>
    <row r="25" spans="2:13" ht="23.25" customHeight="1">
      <c r="B25" s="17"/>
      <c r="C25" s="26"/>
      <c r="D25" s="24" t="s">
        <v>19</v>
      </c>
      <c r="E25" s="7">
        <v>1500</v>
      </c>
      <c r="F25" s="7">
        <v>1464</v>
      </c>
      <c r="G25" s="19" t="s">
        <v>156</v>
      </c>
      <c r="H25" s="8">
        <v>0.79513888888888884</v>
      </c>
      <c r="I25" s="8">
        <v>0.82291666666666663</v>
      </c>
      <c r="J25" s="9">
        <f t="shared" si="1"/>
        <v>2.777777777777779E-2</v>
      </c>
      <c r="K25" s="10">
        <f t="shared" si="0"/>
        <v>2.7322404371584709E-2</v>
      </c>
      <c r="L25" s="21"/>
      <c r="M25" s="55"/>
    </row>
    <row r="26" spans="2:13" ht="23.25" customHeight="1">
      <c r="B26" s="17"/>
      <c r="C26" s="26"/>
      <c r="D26" s="24" t="s">
        <v>20</v>
      </c>
      <c r="E26" s="7">
        <v>1500</v>
      </c>
      <c r="F26" s="63">
        <v>1440</v>
      </c>
      <c r="G26" s="19" t="s">
        <v>156</v>
      </c>
      <c r="H26" s="8">
        <v>0.82291666666666663</v>
      </c>
      <c r="I26" s="8">
        <v>0.84375</v>
      </c>
      <c r="J26" s="9">
        <f t="shared" si="1"/>
        <v>2.083333333333337E-2</v>
      </c>
      <c r="K26" s="10">
        <f t="shared" si="0"/>
        <v>2.083333333333337E-2</v>
      </c>
      <c r="L26" s="51"/>
      <c r="M26" s="55"/>
    </row>
    <row r="27" spans="2:13" ht="23.25" customHeight="1">
      <c r="B27" s="61"/>
      <c r="C27" s="60"/>
      <c r="D27" s="36" t="s">
        <v>21</v>
      </c>
      <c r="E27" s="7">
        <v>1500</v>
      </c>
      <c r="F27" s="62">
        <v>1464</v>
      </c>
      <c r="G27" s="19" t="s">
        <v>156</v>
      </c>
      <c r="H27" s="8">
        <v>0.84375</v>
      </c>
      <c r="I27" s="8">
        <v>0.86805555555555558</v>
      </c>
      <c r="J27" s="9">
        <f t="shared" si="1"/>
        <v>2.430555555555558E-2</v>
      </c>
      <c r="K27" s="10">
        <f t="shared" si="0"/>
        <v>2.3907103825136635E-2</v>
      </c>
      <c r="L27" s="42"/>
      <c r="M27" s="55"/>
    </row>
    <row r="28" spans="2:13" ht="23.25" customHeight="1">
      <c r="B28" s="61"/>
      <c r="C28" s="60"/>
      <c r="D28" s="36" t="s">
        <v>22</v>
      </c>
      <c r="E28" s="7">
        <v>1500</v>
      </c>
      <c r="F28" s="62">
        <v>1464</v>
      </c>
      <c r="G28" s="19" t="s">
        <v>156</v>
      </c>
      <c r="H28" s="8">
        <v>0.86805555555555558</v>
      </c>
      <c r="I28" s="8">
        <v>0.89236111111111116</v>
      </c>
      <c r="J28" s="9">
        <f t="shared" si="1"/>
        <v>2.430555555555558E-2</v>
      </c>
      <c r="K28" s="10">
        <f t="shared" si="0"/>
        <v>2.3907103825136635E-2</v>
      </c>
      <c r="L28" s="42"/>
      <c r="M28" s="55"/>
    </row>
    <row r="29" spans="2:13" ht="23.25" customHeight="1">
      <c r="B29" s="61"/>
      <c r="C29" s="60"/>
      <c r="D29" s="36" t="s">
        <v>23</v>
      </c>
      <c r="E29" s="45">
        <v>1500</v>
      </c>
      <c r="F29" s="68">
        <v>1488</v>
      </c>
      <c r="G29" s="19" t="s">
        <v>156</v>
      </c>
      <c r="H29" s="8">
        <v>0.89236111111111116</v>
      </c>
      <c r="I29" s="8">
        <v>0.91666666666666663</v>
      </c>
      <c r="J29" s="9">
        <f t="shared" si="1"/>
        <v>2.4305555555555469E-2</v>
      </c>
      <c r="K29" s="10">
        <f t="shared" si="0"/>
        <v>2.3521505376343999E-2</v>
      </c>
      <c r="L29" s="42"/>
      <c r="M29" s="55"/>
    </row>
    <row r="30" spans="2:13" ht="23.25" customHeight="1">
      <c r="B30" s="61"/>
      <c r="C30" s="60"/>
      <c r="D30" s="24" t="s">
        <v>24</v>
      </c>
      <c r="E30" s="45">
        <v>1500</v>
      </c>
      <c r="F30" s="62">
        <v>1536</v>
      </c>
      <c r="G30" s="19" t="s">
        <v>156</v>
      </c>
      <c r="H30" s="8">
        <v>0.91666666666666663</v>
      </c>
      <c r="I30" s="8">
        <v>0.9375</v>
      </c>
      <c r="J30" s="9">
        <f t="shared" si="1"/>
        <v>2.083333333333337E-2</v>
      </c>
      <c r="K30" s="10">
        <f t="shared" si="0"/>
        <v>1.9531250000000035E-2</v>
      </c>
      <c r="L30" s="42"/>
      <c r="M30" s="55"/>
    </row>
    <row r="31" spans="2:13" ht="23.25" customHeight="1">
      <c r="B31" s="61"/>
      <c r="C31" s="60"/>
      <c r="D31" s="24" t="s">
        <v>28</v>
      </c>
      <c r="E31" s="45"/>
      <c r="F31" s="62">
        <v>14</v>
      </c>
      <c r="G31" s="38"/>
      <c r="H31" s="39"/>
      <c r="I31" s="39"/>
      <c r="J31" s="9"/>
      <c r="K31" s="10"/>
      <c r="L31" s="42"/>
      <c r="M31" s="55"/>
    </row>
    <row r="32" spans="2:13" ht="23.25">
      <c r="B32" s="61"/>
      <c r="C32" s="60"/>
      <c r="D32" s="24" t="s">
        <v>29</v>
      </c>
      <c r="E32" s="45"/>
      <c r="F32" s="62">
        <v>12</v>
      </c>
      <c r="G32" s="88"/>
      <c r="H32" s="89"/>
      <c r="I32" s="89"/>
      <c r="J32" s="49"/>
      <c r="K32" s="10"/>
      <c r="L32" s="42"/>
      <c r="M32" s="55"/>
    </row>
    <row r="33" spans="2:13" ht="23.25">
      <c r="B33" s="61"/>
      <c r="C33" s="60" t="s">
        <v>167</v>
      </c>
      <c r="D33" s="24" t="s">
        <v>14</v>
      </c>
      <c r="E33" s="45">
        <v>100</v>
      </c>
      <c r="F33" s="68">
        <v>0</v>
      </c>
      <c r="G33" s="254" t="s">
        <v>21</v>
      </c>
      <c r="H33" s="255">
        <v>0.66666666666666663</v>
      </c>
      <c r="I33" s="255">
        <v>0.77083333333333337</v>
      </c>
      <c r="J33" s="256">
        <f t="shared" si="1"/>
        <v>0.10416666666666674</v>
      </c>
      <c r="K33" s="87" t="str">
        <f t="shared" si="0"/>
        <v/>
      </c>
      <c r="L33" s="42"/>
      <c r="M33" s="55"/>
    </row>
    <row r="34" spans="2:13" ht="23.25">
      <c r="B34" s="61"/>
      <c r="C34" s="60"/>
      <c r="D34" s="24" t="s">
        <v>29</v>
      </c>
      <c r="E34" s="45"/>
      <c r="F34" s="68">
        <v>6</v>
      </c>
      <c r="G34" s="254"/>
      <c r="H34" s="255"/>
      <c r="I34" s="255"/>
      <c r="J34" s="256"/>
      <c r="K34" s="87"/>
      <c r="L34" s="42"/>
      <c r="M34" s="55"/>
    </row>
    <row r="35" spans="2:13" ht="23.25">
      <c r="B35" s="61"/>
      <c r="C35" s="60"/>
      <c r="D35" s="24" t="s">
        <v>44</v>
      </c>
      <c r="E35" s="45"/>
      <c r="F35" s="68">
        <v>83</v>
      </c>
      <c r="G35" s="254"/>
      <c r="H35" s="255"/>
      <c r="I35" s="255"/>
      <c r="J35" s="256"/>
      <c r="K35" s="87"/>
      <c r="L35" s="42"/>
      <c r="M35" s="55"/>
    </row>
    <row r="36" spans="2:13" ht="23.25">
      <c r="B36" s="61"/>
      <c r="C36" s="60" t="s">
        <v>168</v>
      </c>
      <c r="D36" s="24" t="s">
        <v>14</v>
      </c>
      <c r="E36" s="45">
        <v>100</v>
      </c>
      <c r="F36" s="68">
        <v>0</v>
      </c>
      <c r="G36" s="254"/>
      <c r="H36" s="255"/>
      <c r="I36" s="255"/>
      <c r="J36" s="256"/>
      <c r="K36" s="87"/>
      <c r="L36" s="42"/>
      <c r="M36" s="55"/>
    </row>
    <row r="37" spans="2:13" ht="23.25">
      <c r="B37" s="61"/>
      <c r="C37" s="60"/>
      <c r="D37" s="24" t="s">
        <v>29</v>
      </c>
      <c r="E37" s="45"/>
      <c r="F37" s="68">
        <v>7</v>
      </c>
      <c r="G37" s="254"/>
      <c r="H37" s="255"/>
      <c r="I37" s="255"/>
      <c r="J37" s="256"/>
      <c r="K37" s="87"/>
      <c r="L37" s="42"/>
      <c r="M37" s="55"/>
    </row>
    <row r="38" spans="2:13" ht="24" customHeight="1">
      <c r="B38" s="56"/>
      <c r="C38" s="60"/>
      <c r="D38" s="24" t="s">
        <v>44</v>
      </c>
      <c r="E38" s="45"/>
      <c r="F38" s="68">
        <v>85</v>
      </c>
      <c r="G38" s="254"/>
      <c r="H38" s="255"/>
      <c r="I38" s="255"/>
      <c r="J38" s="256"/>
      <c r="K38" s="87"/>
      <c r="L38" s="42"/>
      <c r="M38" s="55"/>
    </row>
    <row r="39" spans="2:13" ht="24" customHeight="1">
      <c r="B39" s="56"/>
      <c r="C39" s="28" t="s">
        <v>36</v>
      </c>
      <c r="D39" s="29"/>
      <c r="E39" s="30">
        <f>SUM(E4:E38)</f>
        <v>32450</v>
      </c>
      <c r="F39" s="46">
        <f>SUM(F4:F38)</f>
        <v>32407</v>
      </c>
      <c r="G39" s="64"/>
      <c r="H39" s="64"/>
      <c r="I39" s="65"/>
      <c r="J39" s="65"/>
      <c r="K39" s="64"/>
      <c r="L39" s="64"/>
      <c r="M39" s="55"/>
    </row>
    <row r="40" spans="2:13" ht="24" customHeight="1">
      <c r="B40" s="32"/>
      <c r="I40" s="31"/>
      <c r="J40" s="31"/>
    </row>
    <row r="41" spans="2:13" ht="20.25" customHeight="1">
      <c r="I41" s="31"/>
      <c r="J41" s="31"/>
    </row>
    <row r="42" spans="2:13" ht="20.25" customHeight="1">
      <c r="I42" s="31"/>
      <c r="J42" s="31"/>
    </row>
    <row r="43" spans="2:13" ht="20.25" customHeight="1"/>
    <row r="44" spans="2:13" ht="20.25" customHeight="1"/>
    <row r="45" spans="2:13" ht="20.25" customHeight="1">
      <c r="L45" s="3" t="s">
        <v>37</v>
      </c>
    </row>
    <row r="46" spans="2:13" ht="20.25" customHeight="1"/>
    <row r="47" spans="2:13" ht="20.25" customHeight="1"/>
    <row r="48" spans="2:13" ht="21" customHeight="1"/>
    <row r="49" spans="2:13" ht="21" customHeight="1"/>
    <row r="50" spans="2:13" ht="18" customHeight="1"/>
    <row r="51" spans="2:13" ht="18" customHeight="1">
      <c r="I51" s="33"/>
      <c r="J51" s="33"/>
    </row>
    <row r="52" spans="2:13" ht="18" customHeight="1"/>
    <row r="53" spans="2:13" ht="18" customHeight="1"/>
    <row r="54" spans="2:13" ht="18" customHeight="1"/>
    <row r="55" spans="2:13" ht="18" customHeight="1"/>
    <row r="56" spans="2:13" ht="18" customHeight="1"/>
    <row r="57" spans="2:13" ht="18" customHeight="1"/>
    <row r="58" spans="2:13" ht="18" customHeight="1"/>
    <row r="64" spans="2:13" s="34" customFormat="1" ht="27.6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mergeCells count="15">
    <mergeCell ref="K2:K3"/>
    <mergeCell ref="L2:L3"/>
    <mergeCell ref="M2:M3"/>
    <mergeCell ref="B2:B3"/>
    <mergeCell ref="C2:C3"/>
    <mergeCell ref="D2:D3"/>
    <mergeCell ref="E2:E3"/>
    <mergeCell ref="F2:F3"/>
    <mergeCell ref="G33:G38"/>
    <mergeCell ref="H33:H38"/>
    <mergeCell ref="I33:I38"/>
    <mergeCell ref="J33:J38"/>
    <mergeCell ref="G2:G3"/>
    <mergeCell ref="H2:I2"/>
    <mergeCell ref="J2:J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5154-4A49-4911-9688-A69FE2A302F4}">
  <dimension ref="B2:M62"/>
  <sheetViews>
    <sheetView topLeftCell="A20" zoomScale="80" zoomScaleNormal="80" workbookViewId="0">
      <selection activeCell="H4" sqref="H4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3" customWidth="1"/>
    <col min="6" max="7" width="14.28515625" style="3" customWidth="1"/>
    <col min="8" max="10" width="11.7109375" style="3" customWidth="1"/>
    <col min="11" max="11" width="17" style="3" customWidth="1"/>
    <col min="12" max="12" width="18.7109375" style="3" bestFit="1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s="70" customFormat="1" ht="21" customHeight="1">
      <c r="B4" s="17" t="s">
        <v>169</v>
      </c>
      <c r="C4" s="18" t="s">
        <v>170</v>
      </c>
      <c r="D4" s="24" t="s">
        <v>171</v>
      </c>
      <c r="E4" s="7">
        <v>7500</v>
      </c>
      <c r="F4" s="86">
        <v>7683</v>
      </c>
      <c r="G4" s="7">
        <v>50</v>
      </c>
      <c r="H4" s="8">
        <v>0.34375</v>
      </c>
      <c r="I4" s="8">
        <v>0.42708333333333331</v>
      </c>
      <c r="J4" s="85">
        <f t="shared" ref="J4:J9" si="0">I4-H4</f>
        <v>8.3333333333333315E-2</v>
      </c>
      <c r="K4" s="10">
        <f t="shared" ref="K4" si="1">IFERROR((J4*24*60)/F4,"")</f>
        <v>1.5618898867629828E-2</v>
      </c>
      <c r="L4" s="73"/>
      <c r="M4" s="4" t="s">
        <v>15</v>
      </c>
    </row>
    <row r="5" spans="2:13" s="70" customFormat="1" ht="21" customHeight="1">
      <c r="B5" s="22" t="s">
        <v>172</v>
      </c>
      <c r="C5" s="71"/>
      <c r="D5" s="24" t="s">
        <v>30</v>
      </c>
      <c r="E5" s="24" t="s">
        <v>30</v>
      </c>
      <c r="F5" s="24" t="s">
        <v>30</v>
      </c>
      <c r="G5" s="7">
        <v>38</v>
      </c>
      <c r="H5" s="8">
        <v>0.42708333333333331</v>
      </c>
      <c r="I5" s="8">
        <v>0.43402777777777779</v>
      </c>
      <c r="J5" s="85">
        <f t="shared" si="0"/>
        <v>6.9444444444444753E-3</v>
      </c>
      <c r="K5" s="72"/>
      <c r="L5" s="73"/>
      <c r="M5" s="25" t="s">
        <v>51</v>
      </c>
    </row>
    <row r="6" spans="2:13" ht="21" customHeight="1">
      <c r="B6" s="17"/>
      <c r="C6" s="18" t="s">
        <v>45</v>
      </c>
      <c r="D6" s="74" t="s">
        <v>14</v>
      </c>
      <c r="E6" s="75">
        <v>1500</v>
      </c>
      <c r="F6" s="75">
        <v>1520</v>
      </c>
      <c r="G6" s="75">
        <v>24</v>
      </c>
      <c r="H6" s="76">
        <v>0.41666666666666669</v>
      </c>
      <c r="I6" s="76">
        <v>0.4548611111111111</v>
      </c>
      <c r="J6" s="77">
        <f t="shared" si="0"/>
        <v>3.819444444444442E-2</v>
      </c>
      <c r="K6" s="78">
        <f>IFERROR((J6*24*60)/F6,"")</f>
        <v>3.6184210526315763E-2</v>
      </c>
      <c r="L6" s="79"/>
      <c r="M6" s="257" t="s">
        <v>173</v>
      </c>
    </row>
    <row r="7" spans="2:13" ht="21" customHeight="1">
      <c r="B7" s="22"/>
      <c r="C7" s="4"/>
      <c r="D7" s="74" t="s">
        <v>17</v>
      </c>
      <c r="E7" s="75">
        <v>1500</v>
      </c>
      <c r="F7" s="75">
        <v>1480</v>
      </c>
      <c r="G7" s="75">
        <v>24</v>
      </c>
      <c r="H7" s="76">
        <v>0.4548611111111111</v>
      </c>
      <c r="I7" s="76">
        <v>0.4861111111111111</v>
      </c>
      <c r="J7" s="77">
        <f t="shared" si="0"/>
        <v>3.125E-2</v>
      </c>
      <c r="K7" s="78">
        <f t="shared" ref="K7:K33" si="2">IFERROR((J7*24*60)/F7,"")</f>
        <v>3.0405405405405407E-2</v>
      </c>
      <c r="L7" s="12"/>
      <c r="M7" s="258"/>
    </row>
    <row r="8" spans="2:13" ht="21" customHeight="1">
      <c r="B8" s="4"/>
      <c r="C8" s="4"/>
      <c r="D8" s="92" t="s">
        <v>18</v>
      </c>
      <c r="E8" s="93">
        <v>1500</v>
      </c>
      <c r="F8" s="93">
        <v>1520</v>
      </c>
      <c r="G8" s="93">
        <v>38</v>
      </c>
      <c r="H8" s="81">
        <v>0.43402777777777779</v>
      </c>
      <c r="I8" s="81">
        <v>0.45833333333333331</v>
      </c>
      <c r="J8" s="85">
        <f t="shared" si="0"/>
        <v>2.4305555555555525E-2</v>
      </c>
      <c r="K8" s="94">
        <f t="shared" si="2"/>
        <v>2.3026315789473655E-2</v>
      </c>
      <c r="L8" s="4"/>
      <c r="M8" s="4"/>
    </row>
    <row r="9" spans="2:13" ht="21" customHeight="1">
      <c r="B9" s="4"/>
      <c r="C9" s="4"/>
      <c r="D9" s="92" t="s">
        <v>19</v>
      </c>
      <c r="E9" s="93">
        <v>1500</v>
      </c>
      <c r="F9" s="93">
        <v>1440</v>
      </c>
      <c r="G9" s="93">
        <v>38</v>
      </c>
      <c r="H9" s="81">
        <v>0.45833333333333331</v>
      </c>
      <c r="I9" s="81">
        <v>0.47916666666666669</v>
      </c>
      <c r="J9" s="85">
        <f t="shared" si="0"/>
        <v>2.083333333333337E-2</v>
      </c>
      <c r="K9" s="94">
        <f t="shared" si="2"/>
        <v>2.083333333333337E-2</v>
      </c>
      <c r="L9" s="4"/>
      <c r="M9" s="4"/>
    </row>
    <row r="10" spans="2:13" ht="21" customHeight="1">
      <c r="B10" s="4"/>
      <c r="C10" s="4"/>
      <c r="D10" s="92" t="s">
        <v>20</v>
      </c>
      <c r="E10" s="93">
        <v>1500</v>
      </c>
      <c r="F10" s="93">
        <v>1480</v>
      </c>
      <c r="G10" s="93">
        <v>38</v>
      </c>
      <c r="H10" s="81">
        <v>0.47916666666666669</v>
      </c>
      <c r="I10" s="81">
        <v>0.50347222222222221</v>
      </c>
      <c r="J10" s="85">
        <f t="shared" ref="J10:J33" si="3">I10-H10</f>
        <v>2.4305555555555525E-2</v>
      </c>
      <c r="K10" s="94">
        <f t="shared" si="2"/>
        <v>2.3648648648648619E-2</v>
      </c>
      <c r="L10" s="80"/>
      <c r="M10" s="80"/>
    </row>
    <row r="11" spans="2:13" ht="21" customHeight="1">
      <c r="B11" s="4"/>
      <c r="C11" s="4"/>
      <c r="D11" s="74" t="s">
        <v>21</v>
      </c>
      <c r="E11" s="75">
        <v>1500</v>
      </c>
      <c r="F11" s="75">
        <v>1440</v>
      </c>
      <c r="G11" s="75">
        <v>24</v>
      </c>
      <c r="H11" s="76">
        <v>0.4861111111111111</v>
      </c>
      <c r="I11" s="76">
        <v>0.52083333333333337</v>
      </c>
      <c r="J11" s="77">
        <f t="shared" si="3"/>
        <v>3.4722222222222265E-2</v>
      </c>
      <c r="K11" s="78">
        <f t="shared" si="2"/>
        <v>3.4722222222222265E-2</v>
      </c>
      <c r="L11" s="4"/>
      <c r="M11" s="80" t="s">
        <v>173</v>
      </c>
    </row>
    <row r="12" spans="2:13" ht="21" customHeight="1">
      <c r="B12" s="4"/>
      <c r="C12" s="4"/>
      <c r="D12" s="92" t="s">
        <v>22</v>
      </c>
      <c r="E12" s="93">
        <v>1500</v>
      </c>
      <c r="F12" s="93">
        <v>1440</v>
      </c>
      <c r="G12" s="93">
        <v>38</v>
      </c>
      <c r="H12" s="81">
        <v>0.50347222222222221</v>
      </c>
      <c r="I12" s="81">
        <v>0.52777777777777779</v>
      </c>
      <c r="J12" s="85">
        <f t="shared" si="3"/>
        <v>2.430555555555558E-2</v>
      </c>
      <c r="K12" s="94">
        <f t="shared" si="2"/>
        <v>2.430555555555558E-2</v>
      </c>
      <c r="L12" s="80"/>
      <c r="M12" s="80"/>
    </row>
    <row r="13" spans="2:13" ht="21" customHeight="1">
      <c r="B13" s="4"/>
      <c r="C13" s="55"/>
      <c r="D13" s="92" t="s">
        <v>23</v>
      </c>
      <c r="E13" s="93">
        <v>1500</v>
      </c>
      <c r="F13" s="93">
        <v>760</v>
      </c>
      <c r="G13" s="93">
        <v>38</v>
      </c>
      <c r="H13" s="81">
        <v>0.52777777777777779</v>
      </c>
      <c r="I13" s="81">
        <v>0.53472222222222221</v>
      </c>
      <c r="J13" s="85">
        <f t="shared" si="3"/>
        <v>6.9444444444444198E-3</v>
      </c>
      <c r="K13" s="94">
        <f t="shared" si="2"/>
        <v>1.3157894736842058E-2</v>
      </c>
      <c r="L13" s="90"/>
      <c r="M13" s="91"/>
    </row>
    <row r="14" spans="2:13" ht="23.25" customHeight="1">
      <c r="B14" s="17"/>
      <c r="C14" s="26"/>
      <c r="D14" s="24" t="s">
        <v>28</v>
      </c>
      <c r="E14" s="7"/>
      <c r="F14" s="7">
        <v>0</v>
      </c>
      <c r="G14" s="19"/>
      <c r="H14" s="8"/>
      <c r="I14" s="8"/>
      <c r="J14" s="9"/>
      <c r="K14" s="10"/>
      <c r="L14" s="21"/>
      <c r="M14" s="55"/>
    </row>
    <row r="15" spans="2:13" ht="23.25" customHeight="1">
      <c r="B15" s="17"/>
      <c r="C15" s="26"/>
      <c r="D15" s="24" t="s">
        <v>29</v>
      </c>
      <c r="E15" s="7"/>
      <c r="F15" s="7">
        <v>8</v>
      </c>
      <c r="G15" s="19"/>
      <c r="H15" s="8"/>
      <c r="I15" s="8"/>
      <c r="J15" s="9"/>
      <c r="K15" s="10"/>
      <c r="L15" s="21"/>
      <c r="M15" s="55"/>
    </row>
    <row r="16" spans="2:13" ht="23.25" customHeight="1">
      <c r="B16" s="17"/>
      <c r="C16" s="26"/>
      <c r="D16" s="24" t="s">
        <v>30</v>
      </c>
      <c r="E16" s="24" t="s">
        <v>30</v>
      </c>
      <c r="F16" s="24" t="s">
        <v>30</v>
      </c>
      <c r="G16" s="19" t="s">
        <v>22</v>
      </c>
      <c r="H16" s="81">
        <v>0.52777777777777779</v>
      </c>
      <c r="I16" s="81">
        <v>0.56944444444444398</v>
      </c>
      <c r="J16" s="9">
        <f t="shared" ref="J16:J17" si="4">I16-H16</f>
        <v>4.1666666666666186E-2</v>
      </c>
      <c r="K16" s="10" t="str">
        <f t="shared" si="2"/>
        <v/>
      </c>
      <c r="L16" s="21"/>
      <c r="M16" s="25" t="s">
        <v>51</v>
      </c>
    </row>
    <row r="17" spans="2:13" ht="23.25" customHeight="1">
      <c r="B17" s="17"/>
      <c r="C17" s="55" t="s">
        <v>174</v>
      </c>
      <c r="D17" s="24" t="s">
        <v>14</v>
      </c>
      <c r="E17" s="7">
        <v>1500</v>
      </c>
      <c r="F17" s="7"/>
      <c r="G17" s="19" t="s">
        <v>175</v>
      </c>
      <c r="H17" s="8">
        <v>0.58333333333333337</v>
      </c>
      <c r="I17" s="8">
        <v>0.60763888888888884</v>
      </c>
      <c r="J17" s="9">
        <f t="shared" si="4"/>
        <v>2.4305555555555469E-2</v>
      </c>
      <c r="K17" s="10" t="str">
        <f t="shared" si="2"/>
        <v/>
      </c>
      <c r="L17" s="21"/>
      <c r="M17" s="80"/>
    </row>
    <row r="18" spans="2:13" ht="23.25" customHeight="1">
      <c r="B18" s="17"/>
      <c r="C18" s="26"/>
      <c r="D18" s="24" t="s">
        <v>17</v>
      </c>
      <c r="E18" s="7">
        <v>1500</v>
      </c>
      <c r="F18" s="7"/>
      <c r="G18" s="19" t="s">
        <v>103</v>
      </c>
      <c r="H18" s="8">
        <v>0.60763888888888884</v>
      </c>
      <c r="I18" s="8">
        <v>0.63194444444444442</v>
      </c>
      <c r="J18" s="9">
        <f t="shared" si="3"/>
        <v>2.430555555555558E-2</v>
      </c>
      <c r="K18" s="10" t="str">
        <f t="shared" si="2"/>
        <v/>
      </c>
      <c r="L18" s="21"/>
      <c r="M18" s="55"/>
    </row>
    <row r="19" spans="2:13" ht="23.25" customHeight="1">
      <c r="B19" s="17"/>
      <c r="C19" s="26"/>
      <c r="D19" s="74" t="s">
        <v>18</v>
      </c>
      <c r="E19" s="75">
        <v>1500</v>
      </c>
      <c r="F19" s="75"/>
      <c r="G19" s="82" t="s">
        <v>176</v>
      </c>
      <c r="H19" s="76">
        <v>0.57638888888888884</v>
      </c>
      <c r="I19" s="76">
        <v>0.63194444444444442</v>
      </c>
      <c r="J19" s="77">
        <f t="shared" si="3"/>
        <v>5.555555555555558E-2</v>
      </c>
      <c r="K19" s="78" t="str">
        <f t="shared" si="2"/>
        <v/>
      </c>
      <c r="L19" s="21"/>
      <c r="M19" s="55" t="s">
        <v>177</v>
      </c>
    </row>
    <row r="20" spans="2:13" ht="23.25" customHeight="1">
      <c r="B20" s="17"/>
      <c r="C20" s="26"/>
      <c r="D20" s="74" t="s">
        <v>19</v>
      </c>
      <c r="E20" s="75">
        <v>1500</v>
      </c>
      <c r="F20" s="75"/>
      <c r="G20" s="82" t="s">
        <v>176</v>
      </c>
      <c r="H20" s="76">
        <v>0.63194444444444442</v>
      </c>
      <c r="I20" s="76">
        <v>0.68055555555555558</v>
      </c>
      <c r="J20" s="77">
        <f t="shared" si="3"/>
        <v>4.861111111111116E-2</v>
      </c>
      <c r="K20" s="78" t="str">
        <f t="shared" si="2"/>
        <v/>
      </c>
      <c r="L20" s="21"/>
      <c r="M20" s="55"/>
    </row>
    <row r="21" spans="2:13" ht="23.25" customHeight="1">
      <c r="B21" s="17"/>
      <c r="C21" s="26"/>
      <c r="D21" s="74" t="s">
        <v>20</v>
      </c>
      <c r="E21" s="75">
        <v>1500</v>
      </c>
      <c r="F21" s="75"/>
      <c r="G21" s="82"/>
      <c r="H21" s="76"/>
      <c r="I21" s="76"/>
      <c r="J21" s="77"/>
      <c r="K21" s="78"/>
      <c r="L21" s="21"/>
      <c r="M21" s="55"/>
    </row>
    <row r="22" spans="2:13" ht="23.25" customHeight="1">
      <c r="B22" s="17"/>
      <c r="C22" s="26"/>
      <c r="D22" s="24" t="s">
        <v>28</v>
      </c>
      <c r="E22" s="7"/>
      <c r="F22" s="7">
        <v>0</v>
      </c>
      <c r="G22" s="19"/>
      <c r="H22" s="81"/>
      <c r="I22" s="8"/>
      <c r="J22" s="9"/>
      <c r="K22" s="10" t="str">
        <f t="shared" si="2"/>
        <v/>
      </c>
      <c r="L22" s="21"/>
      <c r="M22" s="55"/>
    </row>
    <row r="23" spans="2:13" ht="23.25" customHeight="1">
      <c r="B23" s="17"/>
      <c r="C23" s="26"/>
      <c r="D23" s="24" t="s">
        <v>29</v>
      </c>
      <c r="E23" s="7"/>
      <c r="F23" s="7">
        <v>4</v>
      </c>
      <c r="G23" s="19"/>
      <c r="H23" s="81"/>
      <c r="I23" s="8"/>
      <c r="J23" s="9"/>
      <c r="K23" s="10"/>
      <c r="L23" s="21"/>
      <c r="M23" s="55"/>
    </row>
    <row r="24" spans="2:13" ht="23.25" customHeight="1">
      <c r="B24" s="17"/>
      <c r="C24" s="26"/>
      <c r="D24" s="24" t="s">
        <v>30</v>
      </c>
      <c r="E24" s="69" t="s">
        <v>30</v>
      </c>
      <c r="F24" s="69" t="s">
        <v>30</v>
      </c>
      <c r="G24" s="19" t="s">
        <v>103</v>
      </c>
      <c r="H24" s="81">
        <v>0.63194444444444442</v>
      </c>
      <c r="I24" s="81">
        <v>0.64236111111111116</v>
      </c>
      <c r="J24" s="9">
        <f t="shared" si="3"/>
        <v>1.0416666666666741E-2</v>
      </c>
      <c r="K24" s="10" t="str">
        <f>IFERROR((J24*24*60)/F24,"")</f>
        <v/>
      </c>
      <c r="L24" s="21"/>
      <c r="M24" s="55" t="s">
        <v>51</v>
      </c>
    </row>
    <row r="25" spans="2:13" ht="23.25" customHeight="1">
      <c r="B25" s="17"/>
      <c r="C25" s="26" t="s">
        <v>178</v>
      </c>
      <c r="D25" s="24" t="s">
        <v>14</v>
      </c>
      <c r="E25" s="7">
        <v>1500</v>
      </c>
      <c r="F25" s="7">
        <v>1488</v>
      </c>
      <c r="G25" s="19" t="s">
        <v>103</v>
      </c>
      <c r="H25" s="81">
        <v>0.64236111111111116</v>
      </c>
      <c r="I25" s="81">
        <v>0.67013888888888884</v>
      </c>
      <c r="J25" s="9">
        <f t="shared" si="3"/>
        <v>2.7777777777777679E-2</v>
      </c>
      <c r="K25" s="10">
        <f>IFERROR((J25*24*60)/F25,"")</f>
        <v>2.688172043010743E-2</v>
      </c>
      <c r="L25" s="21"/>
      <c r="M25" s="55"/>
    </row>
    <row r="26" spans="2:13" ht="23.25" customHeight="1">
      <c r="B26" s="17"/>
      <c r="C26" s="26"/>
      <c r="D26" s="24" t="s">
        <v>17</v>
      </c>
      <c r="E26" s="7">
        <v>1500</v>
      </c>
      <c r="F26" s="7">
        <v>1512</v>
      </c>
      <c r="G26" s="19" t="s">
        <v>103</v>
      </c>
      <c r="H26" s="81">
        <v>0.67013888888888884</v>
      </c>
      <c r="I26" s="81">
        <v>0.69791666666666663</v>
      </c>
      <c r="J26" s="9">
        <f t="shared" si="3"/>
        <v>2.777777777777779E-2</v>
      </c>
      <c r="K26" s="10">
        <f t="shared" si="2"/>
        <v>2.6455026455026464E-2</v>
      </c>
      <c r="L26" s="21"/>
      <c r="M26" s="55"/>
    </row>
    <row r="27" spans="2:13" ht="23.25" customHeight="1">
      <c r="B27" s="17"/>
      <c r="C27" s="26"/>
      <c r="D27" s="24" t="s">
        <v>18</v>
      </c>
      <c r="E27" s="7">
        <v>1500</v>
      </c>
      <c r="F27" s="7">
        <v>1512</v>
      </c>
      <c r="G27" s="19" t="s">
        <v>89</v>
      </c>
      <c r="H27" s="81">
        <v>0.69791666666666663</v>
      </c>
      <c r="I27" s="81">
        <v>0.72569444444444442</v>
      </c>
      <c r="J27" s="9">
        <f t="shared" si="3"/>
        <v>2.777777777777779E-2</v>
      </c>
      <c r="K27" s="10">
        <f t="shared" si="2"/>
        <v>2.6455026455026464E-2</v>
      </c>
      <c r="L27" s="21"/>
      <c r="M27" s="55" t="s">
        <v>136</v>
      </c>
    </row>
    <row r="28" spans="2:13" ht="23.25" customHeight="1">
      <c r="B28" s="17"/>
      <c r="C28" s="26"/>
      <c r="D28" s="24" t="s">
        <v>19</v>
      </c>
      <c r="E28" s="7">
        <v>1500</v>
      </c>
      <c r="F28" s="7">
        <v>1488</v>
      </c>
      <c r="G28" s="19" t="s">
        <v>89</v>
      </c>
      <c r="H28" s="81">
        <v>0.72569444444444442</v>
      </c>
      <c r="I28" s="81">
        <v>0.74652777777777779</v>
      </c>
      <c r="J28" s="9">
        <f t="shared" si="3"/>
        <v>2.083333333333337E-2</v>
      </c>
      <c r="K28" s="10">
        <f t="shared" si="2"/>
        <v>2.0161290322580679E-2</v>
      </c>
      <c r="L28" s="21"/>
      <c r="M28" s="55"/>
    </row>
    <row r="29" spans="2:13" ht="23.25" customHeight="1">
      <c r="B29" s="17"/>
      <c r="C29" s="26"/>
      <c r="D29" s="24" t="s">
        <v>20</v>
      </c>
      <c r="E29" s="7">
        <v>1500</v>
      </c>
      <c r="F29" s="63">
        <v>1512</v>
      </c>
      <c r="G29" s="19" t="s">
        <v>89</v>
      </c>
      <c r="H29" s="81">
        <v>0.74652777777777779</v>
      </c>
      <c r="I29" s="81">
        <v>0.77083333333333337</v>
      </c>
      <c r="J29" s="9">
        <f t="shared" si="3"/>
        <v>2.430555555555558E-2</v>
      </c>
      <c r="K29" s="10">
        <f t="shared" si="2"/>
        <v>2.3148148148148171E-2</v>
      </c>
      <c r="L29" s="51"/>
      <c r="M29" s="55"/>
    </row>
    <row r="30" spans="2:13" ht="23.25" customHeight="1">
      <c r="B30" s="61"/>
      <c r="C30" s="60"/>
      <c r="D30" s="36" t="s">
        <v>21</v>
      </c>
      <c r="E30" s="7">
        <v>1500</v>
      </c>
      <c r="F30" s="62">
        <v>1584</v>
      </c>
      <c r="G30" s="19" t="s">
        <v>89</v>
      </c>
      <c r="H30" s="8">
        <v>0.77083333333333337</v>
      </c>
      <c r="I30" s="8">
        <v>0.79513888888888884</v>
      </c>
      <c r="J30" s="9">
        <f t="shared" si="3"/>
        <v>2.4305555555555469E-2</v>
      </c>
      <c r="K30" s="10">
        <f t="shared" si="2"/>
        <v>2.2095959595959516E-2</v>
      </c>
      <c r="L30" s="42"/>
      <c r="M30" s="55"/>
    </row>
    <row r="31" spans="2:13" ht="23.25" customHeight="1">
      <c r="B31" s="61"/>
      <c r="C31" s="60"/>
      <c r="D31" s="36" t="s">
        <v>22</v>
      </c>
      <c r="E31" s="7">
        <v>1500</v>
      </c>
      <c r="F31" s="62">
        <v>1536</v>
      </c>
      <c r="G31" s="19" t="s">
        <v>89</v>
      </c>
      <c r="H31" s="8">
        <v>0.79513888888888884</v>
      </c>
      <c r="I31" s="8">
        <v>0.81597222222222221</v>
      </c>
      <c r="J31" s="9">
        <f t="shared" si="3"/>
        <v>2.083333333333337E-2</v>
      </c>
      <c r="K31" s="10">
        <f t="shared" si="2"/>
        <v>1.9531250000000035E-2</v>
      </c>
      <c r="L31" s="42"/>
      <c r="M31" s="55"/>
    </row>
    <row r="32" spans="2:13" ht="23.25" customHeight="1">
      <c r="B32" s="61"/>
      <c r="C32" s="60"/>
      <c r="D32" s="36" t="s">
        <v>23</v>
      </c>
      <c r="E32" s="45">
        <v>1500</v>
      </c>
      <c r="F32" s="68">
        <v>1488</v>
      </c>
      <c r="G32" s="19" t="s">
        <v>89</v>
      </c>
      <c r="H32" s="8">
        <v>0.81597222222222221</v>
      </c>
      <c r="I32" s="8">
        <v>0.83680555555555558</v>
      </c>
      <c r="J32" s="9">
        <f t="shared" si="3"/>
        <v>2.083333333333337E-2</v>
      </c>
      <c r="K32" s="10">
        <f t="shared" si="2"/>
        <v>2.0161290322580679E-2</v>
      </c>
      <c r="L32" s="42"/>
      <c r="M32" s="55"/>
    </row>
    <row r="33" spans="2:13" ht="23.25" customHeight="1">
      <c r="B33" s="61"/>
      <c r="C33" s="60"/>
      <c r="D33" s="24" t="s">
        <v>24</v>
      </c>
      <c r="E33" s="45">
        <v>1500</v>
      </c>
      <c r="F33" s="62">
        <v>1536</v>
      </c>
      <c r="G33" s="19" t="s">
        <v>89</v>
      </c>
      <c r="H33" s="48">
        <v>0.83680555555555558</v>
      </c>
      <c r="I33" s="48">
        <v>0.86111111111111116</v>
      </c>
      <c r="J33" s="9">
        <f t="shared" si="3"/>
        <v>2.430555555555558E-2</v>
      </c>
      <c r="K33" s="10">
        <f t="shared" si="2"/>
        <v>2.2786458333333356E-2</v>
      </c>
      <c r="L33" s="42"/>
      <c r="M33" s="55"/>
    </row>
    <row r="34" spans="2:13" ht="23.25" customHeight="1">
      <c r="B34" s="61"/>
      <c r="C34" s="60"/>
      <c r="D34" s="24" t="s">
        <v>25</v>
      </c>
      <c r="E34" s="45">
        <v>1500</v>
      </c>
      <c r="F34" s="68">
        <v>1776</v>
      </c>
      <c r="G34" s="19" t="s">
        <v>89</v>
      </c>
      <c r="H34" s="39">
        <v>0.86111111111111116</v>
      </c>
      <c r="I34" s="39">
        <v>0.88194444444444442</v>
      </c>
      <c r="J34" s="9">
        <f t="shared" ref="J34" si="5">I34-H34</f>
        <v>2.0833333333333259E-2</v>
      </c>
      <c r="K34" s="10">
        <f t="shared" ref="K34" si="6">IFERROR((J34*24*60)/F34,"")</f>
        <v>1.689189189189183E-2</v>
      </c>
      <c r="L34" s="42"/>
      <c r="M34" s="55"/>
    </row>
    <row r="35" spans="2:13" ht="23.25" customHeight="1">
      <c r="B35" s="61"/>
      <c r="C35" s="60"/>
      <c r="D35" s="24" t="s">
        <v>28</v>
      </c>
      <c r="E35" s="45"/>
      <c r="F35" s="62">
        <v>17</v>
      </c>
      <c r="G35" s="83"/>
      <c r="H35" s="84"/>
      <c r="I35" s="84"/>
      <c r="J35" s="9"/>
      <c r="K35" s="10"/>
      <c r="L35" s="42"/>
      <c r="M35" s="55"/>
    </row>
    <row r="36" spans="2:13" ht="23.25">
      <c r="B36" s="61"/>
      <c r="C36" s="60"/>
      <c r="D36" s="24" t="s">
        <v>29</v>
      </c>
      <c r="E36" s="45"/>
      <c r="F36" s="62">
        <v>12</v>
      </c>
      <c r="G36" s="38"/>
      <c r="H36" s="39"/>
      <c r="I36" s="39"/>
      <c r="J36" s="9"/>
      <c r="K36" s="10"/>
      <c r="L36" s="42"/>
      <c r="M36" s="55"/>
    </row>
    <row r="37" spans="2:13" ht="24" customHeight="1">
      <c r="B37" s="56"/>
      <c r="C37" s="28" t="s">
        <v>36</v>
      </c>
      <c r="D37" s="29"/>
      <c r="E37" s="30">
        <f>SUM(E6:E36)</f>
        <v>34500</v>
      </c>
      <c r="F37" s="46">
        <f>SUM(F6:F36)</f>
        <v>26553</v>
      </c>
      <c r="G37" s="64"/>
      <c r="H37" s="64"/>
      <c r="I37" s="65"/>
      <c r="J37" s="65"/>
      <c r="K37" s="64"/>
      <c r="L37" s="64"/>
      <c r="M37" s="55"/>
    </row>
    <row r="38" spans="2:13" ht="24" customHeight="1">
      <c r="B38" s="32"/>
      <c r="I38" s="31"/>
      <c r="J38" s="31"/>
    </row>
    <row r="39" spans="2:13" ht="20.25" customHeight="1">
      <c r="I39" s="31"/>
      <c r="J39" s="31"/>
    </row>
    <row r="40" spans="2:13" ht="20.25" customHeight="1">
      <c r="I40" s="31"/>
      <c r="J40" s="31"/>
    </row>
    <row r="41" spans="2:13" ht="20.25" customHeight="1"/>
    <row r="42" spans="2:13" ht="20.25" customHeight="1"/>
    <row r="43" spans="2:13" ht="20.25" customHeight="1">
      <c r="L43" s="3" t="s">
        <v>37</v>
      </c>
    </row>
    <row r="44" spans="2:13" ht="20.25" customHeight="1"/>
    <row r="45" spans="2:13" ht="20.25" customHeight="1"/>
    <row r="46" spans="2:13" ht="21" customHeight="1"/>
    <row r="47" spans="2:13" ht="21" customHeight="1"/>
    <row r="48" spans="2:13" ht="18" customHeight="1"/>
    <row r="49" spans="2:13" ht="18" customHeight="1">
      <c r="I49" s="33"/>
      <c r="J49" s="33"/>
    </row>
    <row r="50" spans="2:13" ht="18" customHeight="1"/>
    <row r="51" spans="2:13" ht="18" customHeight="1"/>
    <row r="52" spans="2:13" ht="18" customHeight="1"/>
    <row r="53" spans="2:13" ht="18" customHeight="1"/>
    <row r="54" spans="2:13" ht="18" customHeight="1"/>
    <row r="55" spans="2:13" ht="18" customHeight="1"/>
    <row r="56" spans="2:13" ht="18" customHeight="1"/>
    <row r="62" spans="2:13" s="34" customFormat="1" ht="27.6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</sheetData>
  <mergeCells count="12">
    <mergeCell ref="M6:M7"/>
    <mergeCell ref="H2:I2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EF9C-036B-41E0-AF76-F111B9BD9E3F}">
  <dimension ref="B2:M60"/>
  <sheetViews>
    <sheetView topLeftCell="A23" zoomScale="80" zoomScaleNormal="80" workbookViewId="0">
      <selection activeCell="E35" sqref="E35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3" customWidth="1"/>
    <col min="6" max="7" width="14.28515625" style="3" customWidth="1"/>
    <col min="8" max="10" width="11.7109375" style="3" customWidth="1"/>
    <col min="11" max="11" width="17" style="3" customWidth="1"/>
    <col min="12" max="12" width="18.7109375" style="3" bestFit="1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s="70" customFormat="1" ht="21" customHeight="1">
      <c r="B4" s="17" t="s">
        <v>179</v>
      </c>
      <c r="C4" s="18" t="s">
        <v>170</v>
      </c>
      <c r="D4" s="24" t="s">
        <v>171</v>
      </c>
      <c r="E4" s="7">
        <v>7500</v>
      </c>
      <c r="F4" s="86">
        <v>7683</v>
      </c>
      <c r="G4" s="7">
        <v>50</v>
      </c>
      <c r="H4" s="8">
        <v>0.34375</v>
      </c>
      <c r="I4" s="8">
        <v>0.42708333333333331</v>
      </c>
      <c r="J4" s="85">
        <f t="shared" ref="J4:J9" si="0">I4-H4</f>
        <v>8.3333333333333315E-2</v>
      </c>
      <c r="K4" s="10">
        <f t="shared" ref="K4" si="1">IFERROR((J4*24*60)/F4,"")</f>
        <v>1.5618898867629828E-2</v>
      </c>
      <c r="L4" s="73"/>
      <c r="M4" s="4" t="s">
        <v>15</v>
      </c>
    </row>
    <row r="5" spans="2:13" s="70" customFormat="1" ht="21" customHeight="1">
      <c r="B5" s="22" t="s">
        <v>180</v>
      </c>
      <c r="C5" s="71"/>
      <c r="D5" s="24" t="s">
        <v>30</v>
      </c>
      <c r="E5" s="24" t="s">
        <v>30</v>
      </c>
      <c r="F5" s="24" t="s">
        <v>30</v>
      </c>
      <c r="G5" s="7">
        <v>38</v>
      </c>
      <c r="H5" s="8">
        <v>0.42708333333333331</v>
      </c>
      <c r="I5" s="8">
        <v>0.43402777777777779</v>
      </c>
      <c r="J5" s="85">
        <f t="shared" si="0"/>
        <v>6.9444444444444753E-3</v>
      </c>
      <c r="K5" s="72"/>
      <c r="L5" s="73"/>
      <c r="M5" s="25" t="s">
        <v>51</v>
      </c>
    </row>
    <row r="6" spans="2:13" ht="21" customHeight="1">
      <c r="B6" s="17"/>
      <c r="C6" s="18" t="s">
        <v>45</v>
      </c>
      <c r="D6" s="74" t="s">
        <v>14</v>
      </c>
      <c r="E6" s="75">
        <v>1500</v>
      </c>
      <c r="F6" s="75">
        <v>1520</v>
      </c>
      <c r="G6" s="75">
        <v>24</v>
      </c>
      <c r="H6" s="76">
        <v>0.41666666666666669</v>
      </c>
      <c r="I6" s="76">
        <v>0.4548611111111111</v>
      </c>
      <c r="J6" s="77">
        <f t="shared" si="0"/>
        <v>3.819444444444442E-2</v>
      </c>
      <c r="K6" s="78">
        <f>IFERROR((J6*24*60)/F6,"")</f>
        <v>3.6184210526315763E-2</v>
      </c>
      <c r="L6" s="79"/>
      <c r="M6" s="257" t="s">
        <v>173</v>
      </c>
    </row>
    <row r="7" spans="2:13" ht="21" customHeight="1">
      <c r="B7" s="22"/>
      <c r="C7" s="4"/>
      <c r="D7" s="74" t="s">
        <v>17</v>
      </c>
      <c r="E7" s="75">
        <v>1500</v>
      </c>
      <c r="F7" s="75">
        <v>1480</v>
      </c>
      <c r="G7" s="75">
        <v>24</v>
      </c>
      <c r="H7" s="76">
        <v>0.4548611111111111</v>
      </c>
      <c r="I7" s="76">
        <v>0.4861111111111111</v>
      </c>
      <c r="J7" s="77">
        <f t="shared" si="0"/>
        <v>3.125E-2</v>
      </c>
      <c r="K7" s="78">
        <f t="shared" ref="K7:K32" si="2">IFERROR((J7*24*60)/F7,"")</f>
        <v>3.0405405405405407E-2</v>
      </c>
      <c r="L7" s="12"/>
      <c r="M7" s="258"/>
    </row>
    <row r="8" spans="2:13" ht="21" customHeight="1">
      <c r="B8" s="4"/>
      <c r="C8" s="4"/>
      <c r="D8" s="92" t="s">
        <v>18</v>
      </c>
      <c r="E8" s="93">
        <v>1500</v>
      </c>
      <c r="F8" s="93">
        <v>1520</v>
      </c>
      <c r="G8" s="93">
        <v>38</v>
      </c>
      <c r="H8" s="81">
        <v>0.43402777777777779</v>
      </c>
      <c r="I8" s="81">
        <v>0.45833333333333331</v>
      </c>
      <c r="J8" s="85">
        <f t="shared" si="0"/>
        <v>2.4305555555555525E-2</v>
      </c>
      <c r="K8" s="94">
        <f t="shared" si="2"/>
        <v>2.3026315789473655E-2</v>
      </c>
      <c r="L8" s="4"/>
      <c r="M8" s="4"/>
    </row>
    <row r="9" spans="2:13" ht="21" customHeight="1">
      <c r="B9" s="4"/>
      <c r="C9" s="4"/>
      <c r="D9" s="92" t="s">
        <v>19</v>
      </c>
      <c r="E9" s="93">
        <v>1500</v>
      </c>
      <c r="F9" s="93">
        <v>1440</v>
      </c>
      <c r="G9" s="93">
        <v>38</v>
      </c>
      <c r="H9" s="81">
        <v>0.45833333333333331</v>
      </c>
      <c r="I9" s="81">
        <v>0.47916666666666669</v>
      </c>
      <c r="J9" s="85">
        <f t="shared" si="0"/>
        <v>2.083333333333337E-2</v>
      </c>
      <c r="K9" s="94">
        <f t="shared" si="2"/>
        <v>2.083333333333337E-2</v>
      </c>
      <c r="L9" s="4"/>
      <c r="M9" s="4"/>
    </row>
    <row r="10" spans="2:13" ht="21" customHeight="1">
      <c r="B10" s="4"/>
      <c r="C10" s="4"/>
      <c r="D10" s="92" t="s">
        <v>20</v>
      </c>
      <c r="E10" s="93">
        <v>1500</v>
      </c>
      <c r="F10" s="93">
        <v>1480</v>
      </c>
      <c r="G10" s="93">
        <v>38</v>
      </c>
      <c r="H10" s="81">
        <v>0.47916666666666669</v>
      </c>
      <c r="I10" s="81">
        <v>0.50347222222222221</v>
      </c>
      <c r="J10" s="85">
        <f t="shared" ref="J10:J32" si="3">I10-H10</f>
        <v>2.4305555555555525E-2</v>
      </c>
      <c r="K10" s="94">
        <f t="shared" si="2"/>
        <v>2.3648648648648619E-2</v>
      </c>
      <c r="L10" s="80"/>
      <c r="M10" s="80"/>
    </row>
    <row r="11" spans="2:13" ht="21" customHeight="1">
      <c r="B11" s="4"/>
      <c r="C11" s="4"/>
      <c r="D11" s="74" t="s">
        <v>21</v>
      </c>
      <c r="E11" s="75">
        <v>1500</v>
      </c>
      <c r="F11" s="75">
        <v>1440</v>
      </c>
      <c r="G11" s="75">
        <v>24</v>
      </c>
      <c r="H11" s="76">
        <v>0.4861111111111111</v>
      </c>
      <c r="I11" s="76">
        <v>0.52083333333333337</v>
      </c>
      <c r="J11" s="77">
        <f t="shared" si="3"/>
        <v>3.4722222222222265E-2</v>
      </c>
      <c r="K11" s="78">
        <f t="shared" si="2"/>
        <v>3.4722222222222265E-2</v>
      </c>
      <c r="L11" s="4"/>
      <c r="M11" s="80" t="s">
        <v>173</v>
      </c>
    </row>
    <row r="12" spans="2:13" ht="21" customHeight="1">
      <c r="B12" s="4"/>
      <c r="C12" s="4"/>
      <c r="D12" s="92" t="s">
        <v>22</v>
      </c>
      <c r="E12" s="93">
        <v>1500</v>
      </c>
      <c r="F12" s="93">
        <v>1440</v>
      </c>
      <c r="G12" s="93">
        <v>38</v>
      </c>
      <c r="H12" s="81">
        <v>0.50347222222222221</v>
      </c>
      <c r="I12" s="81">
        <v>0.52777777777777779</v>
      </c>
      <c r="J12" s="85">
        <f t="shared" si="3"/>
        <v>2.430555555555558E-2</v>
      </c>
      <c r="K12" s="94">
        <f t="shared" si="2"/>
        <v>2.430555555555558E-2</v>
      </c>
      <c r="L12" s="80"/>
      <c r="M12" s="80"/>
    </row>
    <row r="13" spans="2:13" ht="21" customHeight="1">
      <c r="B13" s="4"/>
      <c r="C13" s="55"/>
      <c r="D13" s="92" t="s">
        <v>23</v>
      </c>
      <c r="E13" s="93">
        <v>1500</v>
      </c>
      <c r="F13" s="93">
        <v>760</v>
      </c>
      <c r="G13" s="93">
        <v>38</v>
      </c>
      <c r="H13" s="81">
        <v>0.52777777777777779</v>
      </c>
      <c r="I13" s="81">
        <v>0.53472222222222221</v>
      </c>
      <c r="J13" s="85">
        <f t="shared" si="3"/>
        <v>6.9444444444444198E-3</v>
      </c>
      <c r="K13" s="94">
        <f t="shared" si="2"/>
        <v>1.3157894736842058E-2</v>
      </c>
      <c r="L13" s="90"/>
      <c r="M13" s="91"/>
    </row>
    <row r="14" spans="2:13" ht="23.25" customHeight="1">
      <c r="B14" s="17"/>
      <c r="C14" s="26"/>
      <c r="D14" s="24" t="s">
        <v>28</v>
      </c>
      <c r="E14" s="7"/>
      <c r="F14" s="7">
        <v>0</v>
      </c>
      <c r="G14" s="19"/>
      <c r="H14" s="81"/>
      <c r="I14" s="81"/>
      <c r="J14" s="9"/>
      <c r="K14" s="10"/>
      <c r="L14" s="21"/>
      <c r="M14" s="55"/>
    </row>
    <row r="15" spans="2:13" ht="23.25" customHeight="1">
      <c r="B15" s="17"/>
      <c r="C15" s="26"/>
      <c r="D15" s="24" t="s">
        <v>29</v>
      </c>
      <c r="E15" s="7"/>
      <c r="F15" s="7">
        <v>8</v>
      </c>
      <c r="G15" s="19"/>
      <c r="H15" s="81"/>
      <c r="I15" s="81"/>
      <c r="J15" s="9"/>
      <c r="K15" s="10"/>
      <c r="L15" s="21"/>
      <c r="M15" s="55"/>
    </row>
    <row r="16" spans="2:13" ht="23.25" customHeight="1">
      <c r="B16" s="17"/>
      <c r="C16" s="26"/>
      <c r="D16" s="24" t="s">
        <v>30</v>
      </c>
      <c r="E16" s="24" t="s">
        <v>30</v>
      </c>
      <c r="F16" s="24" t="s">
        <v>30</v>
      </c>
      <c r="G16" s="19" t="s">
        <v>22</v>
      </c>
      <c r="H16" s="81">
        <v>0.53472222222222221</v>
      </c>
      <c r="I16" s="81">
        <v>0.57638888888888884</v>
      </c>
      <c r="J16" s="9">
        <f t="shared" ref="J16:J17" si="4">I16-H16</f>
        <v>4.166666666666663E-2</v>
      </c>
      <c r="K16" s="10" t="str">
        <f t="shared" si="2"/>
        <v/>
      </c>
      <c r="L16" s="21"/>
      <c r="M16" s="25" t="s">
        <v>51</v>
      </c>
    </row>
    <row r="17" spans="2:13" ht="23.25" customHeight="1">
      <c r="B17" s="17"/>
      <c r="C17" s="55" t="s">
        <v>174</v>
      </c>
      <c r="D17" s="24" t="s">
        <v>14</v>
      </c>
      <c r="E17" s="7">
        <v>1500</v>
      </c>
      <c r="F17" s="7">
        <v>1536</v>
      </c>
      <c r="G17" s="19" t="s">
        <v>181</v>
      </c>
      <c r="H17" s="81">
        <v>0.58680555555555558</v>
      </c>
      <c r="I17" s="81">
        <v>0.61111111111111116</v>
      </c>
      <c r="J17" s="9">
        <f t="shared" si="4"/>
        <v>2.430555555555558E-2</v>
      </c>
      <c r="K17" s="10">
        <f t="shared" si="2"/>
        <v>2.2786458333333356E-2</v>
      </c>
      <c r="L17" s="21"/>
      <c r="M17" s="80"/>
    </row>
    <row r="18" spans="2:13" ht="23.25" customHeight="1">
      <c r="B18" s="17"/>
      <c r="C18" s="26"/>
      <c r="D18" s="24" t="s">
        <v>17</v>
      </c>
      <c r="E18" s="7">
        <v>1500</v>
      </c>
      <c r="F18" s="7">
        <v>1512</v>
      </c>
      <c r="G18" s="19" t="s">
        <v>175</v>
      </c>
      <c r="H18" s="81">
        <v>0.61111111111111116</v>
      </c>
      <c r="I18" s="81">
        <v>0.62847222222222221</v>
      </c>
      <c r="J18" s="9">
        <f t="shared" si="3"/>
        <v>1.7361111111111049E-2</v>
      </c>
      <c r="K18" s="10">
        <f t="shared" si="2"/>
        <v>1.6534391534391474E-2</v>
      </c>
      <c r="L18" s="21"/>
      <c r="M18" s="55"/>
    </row>
    <row r="19" spans="2:13" ht="23.25" customHeight="1">
      <c r="B19" s="17"/>
      <c r="C19" s="26"/>
      <c r="D19" s="74" t="s">
        <v>18</v>
      </c>
      <c r="E19" s="75">
        <v>1500</v>
      </c>
      <c r="F19" s="75">
        <v>1536</v>
      </c>
      <c r="G19" s="82" t="s">
        <v>182</v>
      </c>
      <c r="H19" s="76">
        <v>0.58680555555555558</v>
      </c>
      <c r="I19" s="76">
        <v>0.63541666666666663</v>
      </c>
      <c r="J19" s="77">
        <f t="shared" si="3"/>
        <v>4.8611111111111049E-2</v>
      </c>
      <c r="K19" s="78">
        <f t="shared" si="2"/>
        <v>4.5572916666666609E-2</v>
      </c>
      <c r="L19" s="21"/>
      <c r="M19" s="257" t="s">
        <v>173</v>
      </c>
    </row>
    <row r="20" spans="2:13" ht="23.25" customHeight="1">
      <c r="B20" s="17"/>
      <c r="C20" s="26"/>
      <c r="D20" s="74" t="s">
        <v>19</v>
      </c>
      <c r="E20" s="75">
        <v>1500</v>
      </c>
      <c r="F20" s="75">
        <v>1512</v>
      </c>
      <c r="G20" s="82" t="s">
        <v>182</v>
      </c>
      <c r="H20" s="76">
        <v>0.63541666666666663</v>
      </c>
      <c r="I20" s="76">
        <v>0.68402777777777779</v>
      </c>
      <c r="J20" s="77">
        <f t="shared" si="3"/>
        <v>4.861111111111116E-2</v>
      </c>
      <c r="K20" s="78">
        <f t="shared" si="2"/>
        <v>4.6296296296296342E-2</v>
      </c>
      <c r="L20" s="21"/>
      <c r="M20" s="259"/>
    </row>
    <row r="21" spans="2:13" ht="23.25" customHeight="1">
      <c r="B21" s="17"/>
      <c r="C21" s="26"/>
      <c r="D21" s="74" t="s">
        <v>20</v>
      </c>
      <c r="E21" s="75">
        <v>1500</v>
      </c>
      <c r="F21" s="75">
        <v>1536</v>
      </c>
      <c r="G21" s="82" t="s">
        <v>182</v>
      </c>
      <c r="H21" s="76">
        <v>0.68402777777777779</v>
      </c>
      <c r="I21" s="76">
        <v>0.73611111111111116</v>
      </c>
      <c r="J21" s="77">
        <f t="shared" si="3"/>
        <v>5.208333333333337E-2</v>
      </c>
      <c r="K21" s="78">
        <f t="shared" si="2"/>
        <v>4.8828125000000035E-2</v>
      </c>
      <c r="L21" s="21"/>
      <c r="M21" s="258"/>
    </row>
    <row r="22" spans="2:13" ht="23.25" customHeight="1">
      <c r="B22" s="17"/>
      <c r="C22" s="26"/>
      <c r="D22" s="24" t="s">
        <v>28</v>
      </c>
      <c r="E22" s="7"/>
      <c r="F22" s="7">
        <v>17</v>
      </c>
      <c r="G22" s="19"/>
      <c r="H22" s="81"/>
      <c r="I22" s="81"/>
      <c r="J22" s="77"/>
      <c r="K22" s="10"/>
      <c r="L22" s="21"/>
      <c r="M22" s="55"/>
    </row>
    <row r="23" spans="2:13" ht="23.25" customHeight="1">
      <c r="B23" s="17"/>
      <c r="C23" s="26"/>
      <c r="D23" s="24" t="s">
        <v>29</v>
      </c>
      <c r="E23" s="7"/>
      <c r="F23" s="7">
        <v>8</v>
      </c>
      <c r="G23" s="19"/>
      <c r="H23" s="81"/>
      <c r="I23" s="81"/>
      <c r="J23" s="9"/>
      <c r="K23" s="10"/>
      <c r="L23" s="21"/>
      <c r="M23" s="55"/>
    </row>
    <row r="24" spans="2:13" ht="23.25" customHeight="1">
      <c r="B24" s="17"/>
      <c r="C24" s="26"/>
      <c r="D24" s="24" t="s">
        <v>30</v>
      </c>
      <c r="E24" s="69" t="s">
        <v>30</v>
      </c>
      <c r="F24" s="69" t="s">
        <v>30</v>
      </c>
      <c r="G24" s="19" t="s">
        <v>175</v>
      </c>
      <c r="H24" s="81">
        <v>0.62847222222222221</v>
      </c>
      <c r="I24" s="81">
        <v>0.64236111111111116</v>
      </c>
      <c r="J24" s="9">
        <f t="shared" si="3"/>
        <v>1.3888888888888951E-2</v>
      </c>
      <c r="K24" s="10" t="str">
        <f>IFERROR((J24*24*60)/F24,"")</f>
        <v/>
      </c>
      <c r="L24" s="21"/>
      <c r="M24" s="55" t="s">
        <v>51</v>
      </c>
    </row>
    <row r="25" spans="2:13" ht="23.25" customHeight="1">
      <c r="B25" s="17"/>
      <c r="C25" s="26" t="s">
        <v>183</v>
      </c>
      <c r="D25" s="24" t="s">
        <v>14</v>
      </c>
      <c r="E25" s="7">
        <v>1500</v>
      </c>
      <c r="F25" s="7">
        <v>1520</v>
      </c>
      <c r="G25" s="19" t="s">
        <v>175</v>
      </c>
      <c r="H25" s="81">
        <v>0.64236111111111116</v>
      </c>
      <c r="I25" s="81">
        <v>0.66666666666666663</v>
      </c>
      <c r="J25" s="9">
        <f t="shared" si="3"/>
        <v>2.4305555555555469E-2</v>
      </c>
      <c r="K25" s="10">
        <f>IFERROR((J25*24*60)/F25,"")</f>
        <v>2.30263157894736E-2</v>
      </c>
      <c r="L25" s="21"/>
      <c r="M25" s="55"/>
    </row>
    <row r="26" spans="2:13" ht="23.25" customHeight="1">
      <c r="B26" s="17"/>
      <c r="C26" s="26"/>
      <c r="D26" s="24" t="s">
        <v>17</v>
      </c>
      <c r="E26" s="7">
        <v>1500</v>
      </c>
      <c r="F26" s="7">
        <v>1480</v>
      </c>
      <c r="G26" s="19" t="s">
        <v>175</v>
      </c>
      <c r="H26" s="81">
        <v>0.66666666666666663</v>
      </c>
      <c r="I26" s="81">
        <v>0.6875</v>
      </c>
      <c r="J26" s="9">
        <f t="shared" si="3"/>
        <v>2.083333333333337E-2</v>
      </c>
      <c r="K26" s="10">
        <f t="shared" si="2"/>
        <v>2.0270270270270306E-2</v>
      </c>
      <c r="L26" s="21"/>
      <c r="M26" s="55"/>
    </row>
    <row r="27" spans="2:13" ht="23.25" customHeight="1">
      <c r="B27" s="17"/>
      <c r="C27" s="26"/>
      <c r="D27" s="24" t="s">
        <v>18</v>
      </c>
      <c r="E27" s="7">
        <v>1500</v>
      </c>
      <c r="F27" s="7">
        <v>1520</v>
      </c>
      <c r="G27" s="19" t="s">
        <v>175</v>
      </c>
      <c r="H27" s="81">
        <v>0.6875</v>
      </c>
      <c r="I27" s="81">
        <v>0.70833333333333337</v>
      </c>
      <c r="J27" s="9">
        <f t="shared" si="3"/>
        <v>2.083333333333337E-2</v>
      </c>
      <c r="K27" s="10">
        <f t="shared" si="2"/>
        <v>1.9736842105263191E-2</v>
      </c>
      <c r="L27" s="21"/>
      <c r="M27" s="55"/>
    </row>
    <row r="28" spans="2:13" ht="23.25" customHeight="1">
      <c r="B28" s="17"/>
      <c r="C28" s="26"/>
      <c r="D28" s="24" t="s">
        <v>19</v>
      </c>
      <c r="E28" s="7">
        <v>1500</v>
      </c>
      <c r="F28" s="7">
        <v>1480</v>
      </c>
      <c r="G28" s="19" t="s">
        <v>184</v>
      </c>
      <c r="H28" s="81">
        <v>0.70833333333333337</v>
      </c>
      <c r="I28" s="81">
        <v>0.72916666666666663</v>
      </c>
      <c r="J28" s="9">
        <f t="shared" si="3"/>
        <v>2.0833333333333259E-2</v>
      </c>
      <c r="K28" s="10">
        <f t="shared" si="2"/>
        <v>2.0270270270270199E-2</v>
      </c>
      <c r="L28" s="21"/>
      <c r="M28" s="55" t="s">
        <v>75</v>
      </c>
    </row>
    <row r="29" spans="2:13" ht="23.25" customHeight="1">
      <c r="B29" s="17"/>
      <c r="C29" s="26"/>
      <c r="D29" s="24" t="s">
        <v>20</v>
      </c>
      <c r="E29" s="7">
        <v>1500</v>
      </c>
      <c r="F29" s="63">
        <v>1560</v>
      </c>
      <c r="G29" s="19" t="s">
        <v>184</v>
      </c>
      <c r="H29" s="81">
        <v>0.72916666666666663</v>
      </c>
      <c r="I29" s="81">
        <v>0.75</v>
      </c>
      <c r="J29" s="9">
        <f t="shared" si="3"/>
        <v>2.083333333333337E-2</v>
      </c>
      <c r="K29" s="10">
        <f t="shared" si="2"/>
        <v>1.9230769230769267E-2</v>
      </c>
      <c r="L29" s="51"/>
      <c r="M29" s="55"/>
    </row>
    <row r="30" spans="2:13" ht="23.25" customHeight="1">
      <c r="B30" s="61"/>
      <c r="C30" s="60"/>
      <c r="D30" s="36" t="s">
        <v>21</v>
      </c>
      <c r="E30" s="7">
        <v>1500</v>
      </c>
      <c r="F30" s="62">
        <v>1520</v>
      </c>
      <c r="G30" s="19" t="s">
        <v>156</v>
      </c>
      <c r="H30" s="8">
        <v>0.75</v>
      </c>
      <c r="I30" s="8">
        <v>0.77083333333333337</v>
      </c>
      <c r="J30" s="9">
        <f t="shared" si="3"/>
        <v>2.083333333333337E-2</v>
      </c>
      <c r="K30" s="10">
        <f t="shared" si="2"/>
        <v>1.9736842105263191E-2</v>
      </c>
      <c r="L30" s="42"/>
      <c r="M30" s="55"/>
    </row>
    <row r="31" spans="2:13" ht="23.25" customHeight="1">
      <c r="B31" s="61"/>
      <c r="C31" s="60"/>
      <c r="D31" s="36" t="s">
        <v>22</v>
      </c>
      <c r="E31" s="7">
        <v>1500</v>
      </c>
      <c r="F31" s="62">
        <v>1560</v>
      </c>
      <c r="G31" s="19" t="s">
        <v>156</v>
      </c>
      <c r="H31" s="8">
        <v>0.77083333333333337</v>
      </c>
      <c r="I31" s="8">
        <v>0.79166666666666663</v>
      </c>
      <c r="J31" s="9">
        <f t="shared" si="3"/>
        <v>2.0833333333333259E-2</v>
      </c>
      <c r="K31" s="10">
        <f t="shared" si="2"/>
        <v>1.9230769230769162E-2</v>
      </c>
      <c r="L31" s="42"/>
      <c r="M31" s="55"/>
    </row>
    <row r="32" spans="2:13" ht="23.25" customHeight="1">
      <c r="B32" s="61"/>
      <c r="C32" s="60"/>
      <c r="D32" s="36" t="s">
        <v>23</v>
      </c>
      <c r="E32" s="45">
        <v>1500</v>
      </c>
      <c r="F32" s="68">
        <v>1560</v>
      </c>
      <c r="G32" s="19" t="s">
        <v>156</v>
      </c>
      <c r="H32" s="8">
        <v>0.79166666666666663</v>
      </c>
      <c r="I32" s="8">
        <v>0.8125</v>
      </c>
      <c r="J32" s="9">
        <f t="shared" si="3"/>
        <v>2.083333333333337E-2</v>
      </c>
      <c r="K32" s="10">
        <f t="shared" si="2"/>
        <v>1.9230769230769267E-2</v>
      </c>
      <c r="L32" s="42"/>
      <c r="M32" s="55"/>
    </row>
    <row r="33" spans="2:13" ht="23.25" customHeight="1">
      <c r="B33" s="61"/>
      <c r="C33" s="60"/>
      <c r="D33" s="24" t="s">
        <v>28</v>
      </c>
      <c r="E33" s="45"/>
      <c r="F33" s="62">
        <v>7</v>
      </c>
      <c r="G33" s="83"/>
      <c r="H33" s="84"/>
      <c r="I33" s="84"/>
      <c r="J33" s="9"/>
      <c r="K33" s="10"/>
      <c r="L33" s="42"/>
      <c r="M33" s="55"/>
    </row>
    <row r="34" spans="2:13" ht="23.25">
      <c r="B34" s="61"/>
      <c r="C34" s="60"/>
      <c r="D34" s="24" t="s">
        <v>29</v>
      </c>
      <c r="E34" s="45"/>
      <c r="F34" s="62">
        <v>10</v>
      </c>
      <c r="G34" s="38"/>
      <c r="H34" s="39"/>
      <c r="I34" s="39"/>
      <c r="J34" s="9"/>
      <c r="K34" s="10"/>
      <c r="L34" s="42"/>
      <c r="M34" s="55"/>
    </row>
    <row r="35" spans="2:13" ht="24" customHeight="1">
      <c r="B35" s="56"/>
      <c r="C35" s="28" t="s">
        <v>36</v>
      </c>
      <c r="D35" s="29"/>
      <c r="E35" s="30">
        <f>SUM(E6:E34)</f>
        <v>31500</v>
      </c>
      <c r="F35" s="46">
        <f>SUM(F6:F34)</f>
        <v>30962</v>
      </c>
      <c r="G35" s="64"/>
      <c r="H35" s="64"/>
      <c r="I35" s="65"/>
      <c r="J35" s="65"/>
      <c r="K35" s="64"/>
      <c r="L35" s="64"/>
      <c r="M35" s="55"/>
    </row>
    <row r="36" spans="2:13" ht="24" customHeight="1">
      <c r="B36" s="32"/>
      <c r="I36" s="31"/>
      <c r="J36" s="31"/>
    </row>
    <row r="37" spans="2:13" ht="20.25" customHeight="1">
      <c r="I37" s="31"/>
      <c r="J37" s="31"/>
    </row>
    <row r="38" spans="2:13" ht="20.25" customHeight="1">
      <c r="I38" s="31"/>
      <c r="J38" s="31"/>
    </row>
    <row r="39" spans="2:13" ht="20.25" customHeight="1"/>
    <row r="40" spans="2:13" ht="20.25" customHeight="1"/>
    <row r="41" spans="2:13" ht="20.25" customHeight="1">
      <c r="L41" s="3" t="s">
        <v>37</v>
      </c>
    </row>
    <row r="42" spans="2:13" ht="20.25" customHeight="1"/>
    <row r="43" spans="2:13" ht="20.25" customHeight="1"/>
    <row r="44" spans="2:13" ht="21" customHeight="1"/>
    <row r="45" spans="2:13" ht="21" customHeight="1"/>
    <row r="46" spans="2:13" ht="18" customHeight="1"/>
    <row r="47" spans="2:13" ht="18" customHeight="1">
      <c r="I47" s="33"/>
      <c r="J47" s="33"/>
    </row>
    <row r="48" spans="2:13" ht="18" customHeight="1"/>
    <row r="49" spans="2:13" ht="18" customHeight="1"/>
    <row r="50" spans="2:13" ht="18" customHeight="1"/>
    <row r="51" spans="2:13" ht="18" customHeight="1"/>
    <row r="52" spans="2:13" ht="18" customHeight="1"/>
    <row r="53" spans="2:13" ht="18" customHeight="1"/>
    <row r="54" spans="2:13" ht="18" customHeight="1"/>
    <row r="60" spans="2:13" s="34" customFormat="1" ht="27.6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</sheetData>
  <mergeCells count="13">
    <mergeCell ref="M19:M21"/>
    <mergeCell ref="H2:I2"/>
    <mergeCell ref="J2:J3"/>
    <mergeCell ref="K2:K3"/>
    <mergeCell ref="L2:L3"/>
    <mergeCell ref="M2:M3"/>
    <mergeCell ref="M6:M7"/>
    <mergeCell ref="G2:G3"/>
    <mergeCell ref="B2:B3"/>
    <mergeCell ref="C2:C3"/>
    <mergeCell ref="D2:D3"/>
    <mergeCell ref="E2:E3"/>
    <mergeCell ref="F2:F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6C94-BBE9-46EA-9A17-7D2ED65F5B63}">
  <dimension ref="B2:M69"/>
  <sheetViews>
    <sheetView zoomScale="80" zoomScaleNormal="80" workbookViewId="0">
      <pane ySplit="3" topLeftCell="A19" activePane="bottomLeft" state="frozen"/>
      <selection pane="bottomLeft" activeCell="A15" sqref="A15:XFD15"/>
    </sheetView>
  </sheetViews>
  <sheetFormatPr defaultColWidth="8.7109375" defaultRowHeight="15"/>
  <cols>
    <col min="1" max="1" width="1.5703125" style="3" customWidth="1"/>
    <col min="2" max="2" width="16.28515625" style="3" customWidth="1"/>
    <col min="3" max="3" width="86.5703125" style="3" bestFit="1" customWidth="1"/>
    <col min="4" max="4" width="9.42578125" style="3" customWidth="1"/>
    <col min="5" max="5" width="14.42578125" style="98" customWidth="1"/>
    <col min="6" max="7" width="14.28515625" style="98" customWidth="1"/>
    <col min="8" max="9" width="11.7109375" style="98" customWidth="1"/>
    <col min="10" max="10" width="11.7109375" style="3" customWidth="1"/>
    <col min="11" max="11" width="17" style="3" customWidth="1"/>
    <col min="12" max="12" width="18.7109375" style="3" bestFit="1" customWidth="1"/>
    <col min="13" max="13" width="58.42578125" style="98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60" t="s">
        <v>3</v>
      </c>
      <c r="F2" s="260" t="s">
        <v>4</v>
      </c>
      <c r="G2" s="260" t="s">
        <v>5</v>
      </c>
      <c r="H2" s="265" t="s">
        <v>6</v>
      </c>
      <c r="I2" s="265"/>
      <c r="J2" s="243" t="s">
        <v>7</v>
      </c>
      <c r="K2" s="244" t="s">
        <v>8</v>
      </c>
      <c r="L2" s="245" t="s">
        <v>9</v>
      </c>
      <c r="M2" s="266" t="s">
        <v>10</v>
      </c>
    </row>
    <row r="3" spans="2:13" ht="21" customHeight="1">
      <c r="B3" s="246"/>
      <c r="C3" s="247"/>
      <c r="D3" s="244"/>
      <c r="E3" s="260"/>
      <c r="F3" s="260"/>
      <c r="G3" s="260"/>
      <c r="H3" s="104" t="s">
        <v>11</v>
      </c>
      <c r="I3" s="104" t="s">
        <v>12</v>
      </c>
      <c r="J3" s="243"/>
      <c r="K3" s="244"/>
      <c r="L3" s="245"/>
      <c r="M3" s="266"/>
    </row>
    <row r="4" spans="2:13" s="70" customFormat="1" ht="21" customHeight="1">
      <c r="B4" s="17">
        <v>46102</v>
      </c>
      <c r="C4" s="18" t="s">
        <v>170</v>
      </c>
      <c r="D4" s="24" t="s">
        <v>185</v>
      </c>
      <c r="E4" s="96"/>
      <c r="F4" s="99">
        <v>10968</v>
      </c>
      <c r="G4" s="96">
        <v>55</v>
      </c>
      <c r="H4" s="105">
        <v>0.34375</v>
      </c>
      <c r="I4" s="105">
        <v>0.44791666666666669</v>
      </c>
      <c r="J4" s="85">
        <f t="shared" ref="J4:J34" si="0">I4-H4</f>
        <v>0.10416666666666669</v>
      </c>
      <c r="K4" s="10">
        <f t="shared" ref="K4:K9" si="1">IFERROR((J4*24*60)/F4,"")</f>
        <v>1.3676148796498909E-2</v>
      </c>
      <c r="L4" s="73"/>
      <c r="M4" s="109" t="s">
        <v>15</v>
      </c>
    </row>
    <row r="5" spans="2:13" s="70" customFormat="1" ht="21" customHeight="1">
      <c r="B5" s="22" t="s">
        <v>186</v>
      </c>
      <c r="C5" s="18"/>
      <c r="D5" s="24" t="s">
        <v>30</v>
      </c>
      <c r="E5" s="95" t="s">
        <v>30</v>
      </c>
      <c r="F5" s="95" t="s">
        <v>30</v>
      </c>
      <c r="G5" s="96"/>
      <c r="H5" s="105">
        <v>0.44791666666666669</v>
      </c>
      <c r="I5" s="105">
        <v>0.45833333333333331</v>
      </c>
      <c r="J5" s="85">
        <f t="shared" ref="J5:J9" si="2">I5-H5</f>
        <v>1.041666666666663E-2</v>
      </c>
      <c r="K5" s="101" t="str">
        <f t="shared" si="1"/>
        <v/>
      </c>
      <c r="L5" s="73"/>
      <c r="M5" s="110" t="s">
        <v>51</v>
      </c>
    </row>
    <row r="6" spans="2:13" s="70" customFormat="1" ht="21" customHeight="1">
      <c r="B6" s="17"/>
      <c r="C6" s="18" t="s">
        <v>187</v>
      </c>
      <c r="D6" s="24" t="s">
        <v>100</v>
      </c>
      <c r="E6" s="96">
        <v>2250</v>
      </c>
      <c r="F6" s="96">
        <v>2160</v>
      </c>
      <c r="G6" s="96">
        <v>13</v>
      </c>
      <c r="H6" s="105">
        <v>0.4548611111111111</v>
      </c>
      <c r="I6" s="105">
        <v>0.52083333333333337</v>
      </c>
      <c r="J6" s="85">
        <f t="shared" si="2"/>
        <v>6.5972222222222265E-2</v>
      </c>
      <c r="K6" s="101">
        <f t="shared" si="1"/>
        <v>4.398148148148151E-2</v>
      </c>
      <c r="L6" s="73"/>
      <c r="M6" s="109" t="s">
        <v>188</v>
      </c>
    </row>
    <row r="7" spans="2:13" s="70" customFormat="1" ht="21" customHeight="1">
      <c r="B7" s="17"/>
      <c r="C7" s="18"/>
      <c r="D7" s="24" t="s">
        <v>28</v>
      </c>
      <c r="E7" s="96"/>
      <c r="F7" s="96">
        <v>11</v>
      </c>
      <c r="G7" s="96"/>
      <c r="H7" s="105"/>
      <c r="I7" s="105"/>
      <c r="J7" s="85"/>
      <c r="K7" s="101"/>
      <c r="L7" s="73"/>
      <c r="M7" s="109"/>
    </row>
    <row r="8" spans="2:13" s="70" customFormat="1" ht="21" customHeight="1">
      <c r="B8" s="17"/>
      <c r="C8" s="18"/>
      <c r="D8" s="24" t="s">
        <v>29</v>
      </c>
      <c r="E8" s="96"/>
      <c r="F8" s="96">
        <v>5</v>
      </c>
      <c r="G8" s="96"/>
      <c r="H8" s="105"/>
      <c r="I8" s="105"/>
      <c r="J8" s="85"/>
      <c r="K8" s="101"/>
      <c r="L8" s="73"/>
      <c r="M8" s="109"/>
    </row>
    <row r="9" spans="2:13" s="70" customFormat="1" ht="21" customHeight="1">
      <c r="B9" s="17"/>
      <c r="C9" s="71"/>
      <c r="D9" s="24" t="s">
        <v>30</v>
      </c>
      <c r="E9" s="95" t="s">
        <v>30</v>
      </c>
      <c r="F9" s="95" t="s">
        <v>30</v>
      </c>
      <c r="G9" s="96">
        <v>42</v>
      </c>
      <c r="H9" s="105">
        <v>0.52083333333333337</v>
      </c>
      <c r="I9" s="105">
        <v>0.53125</v>
      </c>
      <c r="J9" s="85">
        <f t="shared" si="2"/>
        <v>1.041666666666663E-2</v>
      </c>
      <c r="K9" s="101" t="str">
        <f t="shared" si="1"/>
        <v/>
      </c>
      <c r="L9" s="73"/>
      <c r="M9" s="110" t="s">
        <v>51</v>
      </c>
    </row>
    <row r="10" spans="2:13" ht="21" customHeight="1">
      <c r="B10" s="17"/>
      <c r="C10" s="18" t="s">
        <v>189</v>
      </c>
      <c r="D10" s="95" t="s">
        <v>14</v>
      </c>
      <c r="E10" s="96">
        <v>1500</v>
      </c>
      <c r="F10" s="96">
        <v>1520</v>
      </c>
      <c r="G10" s="96">
        <v>58</v>
      </c>
      <c r="H10" s="105">
        <v>0.45833333333333331</v>
      </c>
      <c r="I10" s="105">
        <v>0.4826388888888889</v>
      </c>
      <c r="J10" s="85">
        <f t="shared" si="0"/>
        <v>2.430555555555558E-2</v>
      </c>
      <c r="K10" s="101">
        <f>IFERROR((J10*24*60)/F10,"")</f>
        <v>2.3026315789473707E-2</v>
      </c>
      <c r="L10" s="79"/>
      <c r="M10" s="263" t="s">
        <v>190</v>
      </c>
    </row>
    <row r="11" spans="2:13" ht="21" customHeight="1">
      <c r="B11" s="17"/>
      <c r="C11" s="4"/>
      <c r="D11" s="95" t="s">
        <v>17</v>
      </c>
      <c r="E11" s="96">
        <v>1500</v>
      </c>
      <c r="F11" s="96">
        <v>1480</v>
      </c>
      <c r="G11" s="96">
        <v>58</v>
      </c>
      <c r="H11" s="105">
        <v>0.4826388888888889</v>
      </c>
      <c r="I11" s="105">
        <v>0.50694444444444442</v>
      </c>
      <c r="J11" s="85">
        <f t="shared" si="0"/>
        <v>2.4305555555555525E-2</v>
      </c>
      <c r="K11" s="101">
        <f t="shared" ref="K11:K34" si="3">IFERROR((J11*24*60)/F11,"")</f>
        <v>2.3648648648648619E-2</v>
      </c>
      <c r="L11" s="12"/>
      <c r="M11" s="264"/>
    </row>
    <row r="12" spans="2:13" ht="21" customHeight="1">
      <c r="B12" s="17"/>
      <c r="C12" s="4"/>
      <c r="D12" s="95" t="s">
        <v>18</v>
      </c>
      <c r="E12" s="96">
        <v>1500</v>
      </c>
      <c r="F12" s="96">
        <v>1480</v>
      </c>
      <c r="G12" s="96">
        <v>58</v>
      </c>
      <c r="H12" s="105">
        <v>0.50694444444444442</v>
      </c>
      <c r="I12" s="105">
        <v>0.53125</v>
      </c>
      <c r="J12" s="85">
        <f t="shared" si="0"/>
        <v>2.430555555555558E-2</v>
      </c>
      <c r="K12" s="101">
        <f t="shared" si="3"/>
        <v>2.3648648648648674E-2</v>
      </c>
      <c r="L12" s="4"/>
      <c r="M12" s="264"/>
    </row>
    <row r="13" spans="2:13" ht="21" customHeight="1">
      <c r="B13" s="17"/>
      <c r="C13" s="4"/>
      <c r="D13" s="95" t="s">
        <v>19</v>
      </c>
      <c r="E13" s="96">
        <v>1500</v>
      </c>
      <c r="F13" s="96">
        <v>1480</v>
      </c>
      <c r="G13" s="96">
        <v>58</v>
      </c>
      <c r="H13" s="105">
        <v>0.53125</v>
      </c>
      <c r="I13" s="105">
        <v>0.54861111111111116</v>
      </c>
      <c r="J13" s="85">
        <f t="shared" si="0"/>
        <v>1.736111111111116E-2</v>
      </c>
      <c r="K13" s="101">
        <f t="shared" si="3"/>
        <v>1.6891891891891941E-2</v>
      </c>
      <c r="L13" s="4"/>
      <c r="M13" s="264"/>
    </row>
    <row r="14" spans="2:13" ht="21" customHeight="1">
      <c r="B14" s="4"/>
      <c r="C14" s="4"/>
      <c r="D14" s="95" t="s">
        <v>20</v>
      </c>
      <c r="E14" s="96">
        <v>1500</v>
      </c>
      <c r="F14" s="96">
        <v>1560</v>
      </c>
      <c r="G14" s="96">
        <v>58</v>
      </c>
      <c r="H14" s="105">
        <v>0.54861111111111116</v>
      </c>
      <c r="I14" s="105">
        <v>0.56597222222222221</v>
      </c>
      <c r="J14" s="85">
        <f t="shared" si="0"/>
        <v>1.7361111111111049E-2</v>
      </c>
      <c r="K14" s="101">
        <f t="shared" si="3"/>
        <v>1.6025641025640969E-2</v>
      </c>
      <c r="L14" s="80"/>
      <c r="M14" s="264"/>
    </row>
    <row r="15" spans="2:13" ht="21" customHeight="1">
      <c r="B15" s="4"/>
      <c r="C15" s="4"/>
      <c r="D15" s="95" t="s">
        <v>21</v>
      </c>
      <c r="E15" s="96">
        <v>1500</v>
      </c>
      <c r="F15" s="96">
        <v>1560</v>
      </c>
      <c r="G15" s="96">
        <v>58</v>
      </c>
      <c r="H15" s="105">
        <v>0.56597222222222221</v>
      </c>
      <c r="I15" s="105">
        <v>0.59722222222222221</v>
      </c>
      <c r="J15" s="85">
        <f t="shared" si="0"/>
        <v>3.125E-2</v>
      </c>
      <c r="K15" s="101">
        <f t="shared" si="3"/>
        <v>2.8846153846153848E-2</v>
      </c>
      <c r="L15" s="4" t="s">
        <v>191</v>
      </c>
      <c r="M15" s="113" t="s">
        <v>192</v>
      </c>
    </row>
    <row r="16" spans="2:13" ht="21" customHeight="1">
      <c r="B16" s="4"/>
      <c r="C16" s="4"/>
      <c r="D16" s="24" t="s">
        <v>28</v>
      </c>
      <c r="E16" s="96"/>
      <c r="F16" s="96">
        <v>18</v>
      </c>
      <c r="G16" s="96"/>
      <c r="H16" s="105"/>
      <c r="I16" s="105"/>
      <c r="J16" s="85">
        <f t="shared" si="0"/>
        <v>0</v>
      </c>
      <c r="K16" s="101">
        <f t="shared" si="3"/>
        <v>0</v>
      </c>
      <c r="L16" s="80"/>
      <c r="M16" s="109"/>
    </row>
    <row r="17" spans="2:13" ht="21" customHeight="1">
      <c r="B17" s="4"/>
      <c r="C17" s="55"/>
      <c r="D17" s="24" t="s">
        <v>29</v>
      </c>
      <c r="E17" s="96"/>
      <c r="F17" s="96">
        <v>8</v>
      </c>
      <c r="G17" s="96"/>
      <c r="H17" s="105"/>
      <c r="I17" s="105"/>
      <c r="J17" s="85">
        <f t="shared" si="0"/>
        <v>0</v>
      </c>
      <c r="K17" s="101">
        <f t="shared" si="3"/>
        <v>0</v>
      </c>
      <c r="L17" s="90"/>
      <c r="M17" s="109"/>
    </row>
    <row r="18" spans="2:13" ht="21" customHeight="1">
      <c r="B18" s="4"/>
      <c r="C18" s="55"/>
      <c r="D18" s="24" t="s">
        <v>30</v>
      </c>
      <c r="E18" s="24" t="s">
        <v>30</v>
      </c>
      <c r="F18" s="24" t="s">
        <v>30</v>
      </c>
      <c r="G18" s="96">
        <v>8</v>
      </c>
      <c r="H18" s="105">
        <v>0.59722222222222221</v>
      </c>
      <c r="I18" s="105">
        <v>0.63888888888888884</v>
      </c>
      <c r="J18" s="85">
        <f t="shared" ref="J18" si="4">I18-H18</f>
        <v>4.166666666666663E-2</v>
      </c>
      <c r="K18" s="101" t="str">
        <f t="shared" ref="K18" si="5">IFERROR((J18*24*60)/F18,"")</f>
        <v/>
      </c>
      <c r="L18" s="90"/>
      <c r="M18" s="109"/>
    </row>
    <row r="19" spans="2:13" ht="23.25" customHeight="1">
      <c r="B19" s="17"/>
      <c r="C19" s="18" t="s">
        <v>174</v>
      </c>
      <c r="D19" s="74" t="s">
        <v>14</v>
      </c>
      <c r="E19" s="75">
        <v>1500</v>
      </c>
      <c r="F19" s="96">
        <v>1536</v>
      </c>
      <c r="G19" s="82" t="s">
        <v>193</v>
      </c>
      <c r="H19" s="76">
        <v>0.57291666666666663</v>
      </c>
      <c r="I19" s="76">
        <v>0.63541666666666663</v>
      </c>
      <c r="J19" s="77">
        <f t="shared" si="0"/>
        <v>6.25E-2</v>
      </c>
      <c r="K19" s="78">
        <f t="shared" si="3"/>
        <v>5.859375E-2</v>
      </c>
      <c r="L19" s="21"/>
      <c r="M19" s="109" t="s">
        <v>194</v>
      </c>
    </row>
    <row r="20" spans="2:13" ht="23.25" customHeight="1">
      <c r="B20" s="17"/>
      <c r="C20" s="26"/>
      <c r="D20" s="74" t="s">
        <v>17</v>
      </c>
      <c r="E20" s="75">
        <v>1500</v>
      </c>
      <c r="F20" s="96">
        <v>1536</v>
      </c>
      <c r="G20" s="82" t="s">
        <v>181</v>
      </c>
      <c r="H20" s="76">
        <v>0.63541666666666663</v>
      </c>
      <c r="I20" s="76">
        <v>0.68402777777777779</v>
      </c>
      <c r="J20" s="77">
        <f t="shared" si="0"/>
        <v>4.861111111111116E-2</v>
      </c>
      <c r="K20" s="78">
        <f t="shared" si="3"/>
        <v>4.5572916666666713E-2</v>
      </c>
      <c r="L20" s="21"/>
      <c r="M20" s="109" t="s">
        <v>195</v>
      </c>
    </row>
    <row r="21" spans="2:13" ht="23.25" customHeight="1">
      <c r="B21" s="17"/>
      <c r="C21" s="26"/>
      <c r="D21" s="95" t="s">
        <v>18</v>
      </c>
      <c r="E21" s="96">
        <v>1500</v>
      </c>
      <c r="F21" s="96">
        <v>1536</v>
      </c>
      <c r="G21" s="102" t="s">
        <v>196</v>
      </c>
      <c r="H21" s="105">
        <v>0.65277777777777779</v>
      </c>
      <c r="I21" s="105">
        <v>0.68055555555555558</v>
      </c>
      <c r="J21" s="85">
        <f t="shared" si="0"/>
        <v>2.777777777777779E-2</v>
      </c>
      <c r="K21" s="10">
        <f t="shared" si="3"/>
        <v>2.6041666666666675E-2</v>
      </c>
      <c r="L21" s="21"/>
      <c r="M21" s="110"/>
    </row>
    <row r="22" spans="2:13" ht="23.25" customHeight="1">
      <c r="B22" s="17"/>
      <c r="C22" s="55"/>
      <c r="D22" s="95" t="s">
        <v>19</v>
      </c>
      <c r="E22" s="96">
        <v>1500</v>
      </c>
      <c r="F22" s="96">
        <v>1488</v>
      </c>
      <c r="G22" s="102" t="s">
        <v>196</v>
      </c>
      <c r="H22" s="105">
        <v>0.68055555555555558</v>
      </c>
      <c r="I22" s="105">
        <v>0.69791666666666663</v>
      </c>
      <c r="J22" s="85">
        <f t="shared" si="0"/>
        <v>1.7361111111111049E-2</v>
      </c>
      <c r="K22" s="10">
        <f t="shared" si="3"/>
        <v>1.6801075268817144E-2</v>
      </c>
      <c r="L22" s="21"/>
      <c r="M22" s="109"/>
    </row>
    <row r="23" spans="2:13" ht="23.25" customHeight="1">
      <c r="B23" s="17"/>
      <c r="C23" s="26"/>
      <c r="D23" s="95" t="s">
        <v>20</v>
      </c>
      <c r="E23" s="96">
        <v>1500</v>
      </c>
      <c r="F23" s="96">
        <v>1536</v>
      </c>
      <c r="G23" s="102" t="s">
        <v>124</v>
      </c>
      <c r="H23" s="105">
        <v>0.69791666666666663</v>
      </c>
      <c r="I23" s="105">
        <v>0.71527777777777779</v>
      </c>
      <c r="J23" s="85">
        <f t="shared" si="0"/>
        <v>1.736111111111116E-2</v>
      </c>
      <c r="K23" s="10">
        <f t="shared" si="3"/>
        <v>1.6276041666666713E-2</v>
      </c>
      <c r="L23" s="21"/>
      <c r="M23" s="109" t="s">
        <v>146</v>
      </c>
    </row>
    <row r="24" spans="2:13" ht="23.25" customHeight="1">
      <c r="B24" s="17"/>
      <c r="C24" s="26"/>
      <c r="D24" s="95" t="s">
        <v>21</v>
      </c>
      <c r="E24" s="96">
        <v>1500</v>
      </c>
      <c r="F24" s="96">
        <v>1536</v>
      </c>
      <c r="G24" s="102" t="s">
        <v>135</v>
      </c>
      <c r="H24" s="105">
        <v>0.71527777777777779</v>
      </c>
      <c r="I24" s="105">
        <v>0.73611111111111116</v>
      </c>
      <c r="J24" s="85">
        <f t="shared" si="0"/>
        <v>2.083333333333337E-2</v>
      </c>
      <c r="K24" s="94">
        <f t="shared" si="3"/>
        <v>1.9531250000000035E-2</v>
      </c>
      <c r="L24" s="248" t="s">
        <v>197</v>
      </c>
      <c r="M24" s="261" t="s">
        <v>198</v>
      </c>
    </row>
    <row r="25" spans="2:13" ht="23.25" customHeight="1">
      <c r="B25" s="17"/>
      <c r="C25" s="26"/>
      <c r="D25" s="95" t="s">
        <v>22</v>
      </c>
      <c r="E25" s="96">
        <v>1500</v>
      </c>
      <c r="F25" s="96">
        <v>1704</v>
      </c>
      <c r="G25" s="102" t="s">
        <v>135</v>
      </c>
      <c r="H25" s="105">
        <v>0.73611111111111116</v>
      </c>
      <c r="I25" s="105">
        <v>0.76041666666666663</v>
      </c>
      <c r="J25" s="85">
        <f t="shared" si="0"/>
        <v>2.4305555555555469E-2</v>
      </c>
      <c r="K25" s="94">
        <f t="shared" si="3"/>
        <v>2.053990610328631E-2</v>
      </c>
      <c r="L25" s="250"/>
      <c r="M25" s="262"/>
    </row>
    <row r="26" spans="2:13" ht="23.25" customHeight="1">
      <c r="B26" s="17"/>
      <c r="C26" s="26"/>
      <c r="D26" s="24" t="s">
        <v>28</v>
      </c>
      <c r="E26" s="96"/>
      <c r="F26" s="96">
        <v>14</v>
      </c>
      <c r="G26" s="102"/>
      <c r="H26" s="105"/>
      <c r="I26" s="105"/>
      <c r="J26" s="85"/>
      <c r="K26" s="78"/>
      <c r="L26" s="21"/>
      <c r="M26" s="111"/>
    </row>
    <row r="27" spans="2:13" ht="23.25" customHeight="1">
      <c r="B27" s="17"/>
      <c r="C27" s="26"/>
      <c r="D27" s="24" t="s">
        <v>29</v>
      </c>
      <c r="E27" s="96"/>
      <c r="F27" s="96">
        <v>8</v>
      </c>
      <c r="G27" s="102"/>
      <c r="H27" s="105"/>
      <c r="I27" s="105"/>
      <c r="J27" s="85"/>
      <c r="K27" s="10"/>
      <c r="L27" s="21"/>
      <c r="M27" s="109"/>
    </row>
    <row r="28" spans="2:13" ht="23.25" customHeight="1">
      <c r="B28" s="17"/>
      <c r="C28" s="26"/>
      <c r="D28" s="24" t="s">
        <v>30</v>
      </c>
      <c r="E28" s="24" t="s">
        <v>30</v>
      </c>
      <c r="F28" s="24" t="s">
        <v>30</v>
      </c>
      <c r="G28" s="102" t="s">
        <v>135</v>
      </c>
      <c r="H28" s="105">
        <v>0.76041666666666663</v>
      </c>
      <c r="I28" s="105">
        <v>0.77430555555555558</v>
      </c>
      <c r="J28" s="85">
        <f t="shared" ref="J28" si="6">I28-H28</f>
        <v>1.3888888888888951E-2</v>
      </c>
      <c r="K28" s="10"/>
      <c r="L28" s="21"/>
      <c r="M28" s="109"/>
    </row>
    <row r="29" spans="2:13" ht="23.25" customHeight="1">
      <c r="B29" s="17"/>
      <c r="C29" s="26" t="s">
        <v>118</v>
      </c>
      <c r="D29" s="24" t="s">
        <v>14</v>
      </c>
      <c r="E29" s="96">
        <v>1000</v>
      </c>
      <c r="F29" s="96">
        <v>1000</v>
      </c>
      <c r="G29" s="102" t="s">
        <v>135</v>
      </c>
      <c r="H29" s="105">
        <v>0.77430555555555558</v>
      </c>
      <c r="I29" s="105">
        <v>0.78819444444444442</v>
      </c>
      <c r="J29" s="85">
        <f t="shared" si="0"/>
        <v>1.388888888888884E-2</v>
      </c>
      <c r="K29" s="10">
        <f>IFERROR((J29*24*60)/F29,"")</f>
        <v>1.9999999999999928E-2</v>
      </c>
      <c r="L29" s="21"/>
      <c r="M29" s="109"/>
    </row>
    <row r="30" spans="2:13" ht="23.25" customHeight="1">
      <c r="B30" s="17"/>
      <c r="C30" s="26"/>
      <c r="D30" s="24" t="s">
        <v>17</v>
      </c>
      <c r="E30" s="96">
        <v>1000</v>
      </c>
      <c r="F30" s="96">
        <v>1000</v>
      </c>
      <c r="G30" s="102" t="s">
        <v>135</v>
      </c>
      <c r="H30" s="105">
        <v>0.78819444444444442</v>
      </c>
      <c r="I30" s="105">
        <v>0.79861111111111116</v>
      </c>
      <c r="J30" s="85">
        <f t="shared" si="0"/>
        <v>1.0416666666666741E-2</v>
      </c>
      <c r="K30" s="10">
        <f>IFERROR((J30*24*60)/F30,"")</f>
        <v>1.5000000000000107E-2</v>
      </c>
      <c r="L30" s="21"/>
      <c r="M30" s="109"/>
    </row>
    <row r="31" spans="2:13" ht="23.25" customHeight="1">
      <c r="B31" s="17"/>
      <c r="C31" s="26"/>
      <c r="D31" s="24" t="s">
        <v>18</v>
      </c>
      <c r="E31" s="96">
        <v>1000</v>
      </c>
      <c r="F31" s="96">
        <v>1000</v>
      </c>
      <c r="G31" s="102" t="s">
        <v>135</v>
      </c>
      <c r="H31" s="105">
        <v>0.79861111111111116</v>
      </c>
      <c r="I31" s="105">
        <v>0.80902777777777779</v>
      </c>
      <c r="J31" s="85">
        <f t="shared" si="0"/>
        <v>1.041666666666663E-2</v>
      </c>
      <c r="K31" s="10">
        <f>IFERROR((J31*24*60)/F31,"")</f>
        <v>1.4999999999999947E-2</v>
      </c>
      <c r="L31" s="21"/>
      <c r="M31" s="109"/>
    </row>
    <row r="32" spans="2:13" ht="23.25" customHeight="1">
      <c r="B32" s="17"/>
      <c r="C32" s="26"/>
      <c r="D32" s="24" t="s">
        <v>19</v>
      </c>
      <c r="E32" s="96">
        <v>1000</v>
      </c>
      <c r="F32" s="96">
        <v>1000</v>
      </c>
      <c r="G32" s="102" t="s">
        <v>135</v>
      </c>
      <c r="H32" s="105">
        <v>0.80902777777777779</v>
      </c>
      <c r="I32" s="105">
        <v>0.82291666666666663</v>
      </c>
      <c r="J32" s="85">
        <f t="shared" si="0"/>
        <v>1.388888888888884E-2</v>
      </c>
      <c r="K32" s="10">
        <f t="shared" si="3"/>
        <v>1.9999999999999928E-2</v>
      </c>
      <c r="L32" s="21"/>
      <c r="M32" s="109"/>
    </row>
    <row r="33" spans="2:13" ht="23.25" customHeight="1">
      <c r="B33" s="17"/>
      <c r="C33" s="26"/>
      <c r="D33" s="24" t="s">
        <v>20</v>
      </c>
      <c r="E33" s="96">
        <v>1000</v>
      </c>
      <c r="F33" s="96">
        <v>1080</v>
      </c>
      <c r="G33" s="102" t="s">
        <v>135</v>
      </c>
      <c r="H33" s="105">
        <v>0.82291666666666663</v>
      </c>
      <c r="I33" s="105">
        <v>0.83333333333333337</v>
      </c>
      <c r="J33" s="9">
        <f t="shared" si="0"/>
        <v>1.0416666666666741E-2</v>
      </c>
      <c r="K33" s="10">
        <f t="shared" si="3"/>
        <v>1.3888888888888987E-2</v>
      </c>
      <c r="L33" s="21"/>
      <c r="M33" s="109"/>
    </row>
    <row r="34" spans="2:13" ht="23.25" customHeight="1">
      <c r="B34" s="17"/>
      <c r="C34" s="26"/>
      <c r="D34" s="36" t="s">
        <v>21</v>
      </c>
      <c r="E34" s="96">
        <v>1000</v>
      </c>
      <c r="F34" s="96">
        <v>1040</v>
      </c>
      <c r="G34" s="102" t="s">
        <v>135</v>
      </c>
      <c r="H34" s="105">
        <v>0.83333333333333337</v>
      </c>
      <c r="I34" s="105">
        <v>0.84375</v>
      </c>
      <c r="J34" s="9">
        <f t="shared" si="0"/>
        <v>1.041666666666663E-2</v>
      </c>
      <c r="K34" s="10">
        <f t="shared" si="3"/>
        <v>1.4423076923076872E-2</v>
      </c>
      <c r="L34" s="21"/>
      <c r="M34" s="109"/>
    </row>
    <row r="35" spans="2:13" ht="23.25" customHeight="1">
      <c r="B35" s="17"/>
      <c r="C35" s="26"/>
      <c r="D35" s="36" t="s">
        <v>22</v>
      </c>
      <c r="E35" s="96">
        <v>1000</v>
      </c>
      <c r="F35" s="96">
        <v>1040</v>
      </c>
      <c r="G35" s="102" t="s">
        <v>135</v>
      </c>
      <c r="H35" s="105">
        <v>0.84375</v>
      </c>
      <c r="I35" s="105">
        <v>0.85416666666666663</v>
      </c>
      <c r="J35" s="9">
        <f t="shared" ref="J35:J37" si="7">I35-H35</f>
        <v>1.041666666666663E-2</v>
      </c>
      <c r="K35" s="10">
        <f t="shared" ref="K35:K37" si="8">IFERROR((J35*24*60)/F35,"")</f>
        <v>1.4423076923076872E-2</v>
      </c>
      <c r="L35" s="21"/>
      <c r="M35" s="109"/>
    </row>
    <row r="36" spans="2:13" ht="23.25" customHeight="1">
      <c r="B36" s="17"/>
      <c r="C36" s="26"/>
      <c r="D36" s="36" t="s">
        <v>23</v>
      </c>
      <c r="E36" s="96">
        <v>1000</v>
      </c>
      <c r="F36" s="96">
        <v>1040</v>
      </c>
      <c r="G36" s="102" t="s">
        <v>135</v>
      </c>
      <c r="H36" s="105">
        <v>0.85416666666666663</v>
      </c>
      <c r="I36" s="105">
        <v>0.86805555555555558</v>
      </c>
      <c r="J36" s="9">
        <f t="shared" si="7"/>
        <v>1.3888888888888951E-2</v>
      </c>
      <c r="K36" s="10">
        <f t="shared" si="8"/>
        <v>1.9230769230769315E-2</v>
      </c>
      <c r="L36" s="21"/>
      <c r="M36" s="109"/>
    </row>
    <row r="37" spans="2:13" ht="23.25" customHeight="1">
      <c r="B37" s="17"/>
      <c r="C37" s="26"/>
      <c r="D37" s="36" t="s">
        <v>24</v>
      </c>
      <c r="E37" s="96">
        <v>1000</v>
      </c>
      <c r="F37" s="96">
        <v>1000</v>
      </c>
      <c r="G37" s="102" t="s">
        <v>135</v>
      </c>
      <c r="H37" s="105">
        <v>0.86805555555555558</v>
      </c>
      <c r="I37" s="105">
        <v>0.87847222222222221</v>
      </c>
      <c r="J37" s="9">
        <f t="shared" si="7"/>
        <v>1.041666666666663E-2</v>
      </c>
      <c r="K37" s="10">
        <f t="shared" si="8"/>
        <v>1.4999999999999947E-2</v>
      </c>
      <c r="L37" s="21"/>
      <c r="M37" s="109"/>
    </row>
    <row r="38" spans="2:13" ht="23.25" customHeight="1">
      <c r="B38" s="17"/>
      <c r="C38" s="26"/>
      <c r="D38" s="36" t="s">
        <v>25</v>
      </c>
      <c r="E38" s="96">
        <v>1000</v>
      </c>
      <c r="F38" s="96">
        <v>1000</v>
      </c>
      <c r="G38" s="102" t="s">
        <v>135</v>
      </c>
      <c r="H38" s="105">
        <v>0.87847222222222221</v>
      </c>
      <c r="I38" s="105">
        <v>0.88888888888888884</v>
      </c>
      <c r="J38" s="9">
        <f t="shared" ref="J38:J41" si="9">I38-H38</f>
        <v>1.041666666666663E-2</v>
      </c>
      <c r="K38" s="10">
        <f t="shared" ref="K38:K41" si="10">IFERROR((J38*24*60)/F38,"")</f>
        <v>1.4999999999999947E-2</v>
      </c>
      <c r="L38" s="21"/>
      <c r="M38" s="109"/>
    </row>
    <row r="39" spans="2:13" ht="23.25" customHeight="1">
      <c r="B39" s="17"/>
      <c r="C39" s="26"/>
      <c r="D39" s="36" t="s">
        <v>26</v>
      </c>
      <c r="E39" s="96">
        <v>1000</v>
      </c>
      <c r="F39" s="96">
        <v>1040</v>
      </c>
      <c r="G39" s="102" t="s">
        <v>135</v>
      </c>
      <c r="H39" s="105">
        <v>0.88888888888888884</v>
      </c>
      <c r="I39" s="105">
        <v>0.90277777777777779</v>
      </c>
      <c r="J39" s="9">
        <f t="shared" si="9"/>
        <v>1.3888888888888951E-2</v>
      </c>
      <c r="K39" s="10">
        <f t="shared" si="10"/>
        <v>1.9230769230769315E-2</v>
      </c>
      <c r="L39" s="21"/>
      <c r="M39" s="109"/>
    </row>
    <row r="40" spans="2:13" ht="23.25" customHeight="1">
      <c r="B40" s="17"/>
      <c r="C40" s="26"/>
      <c r="D40" s="36" t="s">
        <v>27</v>
      </c>
      <c r="E40" s="96">
        <v>1000</v>
      </c>
      <c r="F40" s="96">
        <v>1040</v>
      </c>
      <c r="G40" s="102" t="s">
        <v>135</v>
      </c>
      <c r="H40" s="105">
        <v>0.90277777777777779</v>
      </c>
      <c r="I40" s="105">
        <v>0.91666666666666663</v>
      </c>
      <c r="J40" s="9">
        <f t="shared" si="9"/>
        <v>1.388888888888884E-2</v>
      </c>
      <c r="K40" s="10">
        <f t="shared" si="10"/>
        <v>1.9230769230769162E-2</v>
      </c>
      <c r="L40" s="21"/>
      <c r="M40" s="109"/>
    </row>
    <row r="41" spans="2:13" ht="23.25" customHeight="1">
      <c r="B41" s="17"/>
      <c r="C41" s="26"/>
      <c r="D41" s="36" t="s">
        <v>49</v>
      </c>
      <c r="E41" s="96">
        <v>1000</v>
      </c>
      <c r="F41" s="96">
        <v>920</v>
      </c>
      <c r="G41" s="102" t="s">
        <v>135</v>
      </c>
      <c r="H41" s="105">
        <v>0.91666666666666663</v>
      </c>
      <c r="I41" s="105">
        <v>0.93055555555555558</v>
      </c>
      <c r="J41" s="9">
        <f t="shared" si="9"/>
        <v>1.3888888888888951E-2</v>
      </c>
      <c r="K41" s="10">
        <f t="shared" si="10"/>
        <v>2.1739130434782705E-2</v>
      </c>
      <c r="L41" s="21"/>
      <c r="M41" s="109"/>
    </row>
    <row r="42" spans="2:13" ht="23.25" customHeight="1">
      <c r="B42" s="17"/>
      <c r="C42" s="26"/>
      <c r="D42" s="24" t="s">
        <v>28</v>
      </c>
      <c r="E42" s="96"/>
      <c r="F42" s="96">
        <v>7</v>
      </c>
      <c r="G42" s="102"/>
      <c r="H42" s="105"/>
      <c r="I42" s="105"/>
      <c r="J42" s="9"/>
      <c r="K42" s="10"/>
      <c r="L42" s="21"/>
      <c r="M42" s="109"/>
    </row>
    <row r="43" spans="2:13" ht="23.25" customHeight="1">
      <c r="B43" s="17"/>
      <c r="C43" s="26"/>
      <c r="D43" s="24" t="s">
        <v>29</v>
      </c>
      <c r="E43" s="96"/>
      <c r="F43" s="96">
        <v>16</v>
      </c>
      <c r="G43" s="102"/>
      <c r="H43" s="105"/>
      <c r="I43" s="105"/>
      <c r="J43" s="9"/>
      <c r="K43" s="10"/>
      <c r="L43" s="21"/>
      <c r="M43" s="109"/>
    </row>
    <row r="44" spans="2:13" ht="24" customHeight="1">
      <c r="B44" s="56"/>
      <c r="C44" s="28" t="s">
        <v>36</v>
      </c>
      <c r="D44" s="29"/>
      <c r="E44" s="97">
        <f>SUM(E4:E41)</f>
        <v>34750</v>
      </c>
      <c r="F44" s="100">
        <f>SUM(F6:F43)</f>
        <v>35399</v>
      </c>
      <c r="G44" s="103"/>
      <c r="H44" s="103"/>
      <c r="I44" s="106"/>
      <c r="J44" s="65"/>
      <c r="K44" s="64"/>
      <c r="L44" s="64"/>
      <c r="M44" s="112"/>
    </row>
    <row r="45" spans="2:13" ht="24" customHeight="1">
      <c r="B45" s="32"/>
      <c r="I45" s="107"/>
      <c r="J45" s="31"/>
    </row>
    <row r="46" spans="2:13" ht="20.25" customHeight="1">
      <c r="I46" s="107"/>
      <c r="J46" s="31"/>
    </row>
    <row r="47" spans="2:13" ht="20.25" customHeight="1">
      <c r="I47" s="107"/>
      <c r="J47" s="31"/>
    </row>
    <row r="48" spans="2:13" ht="20.25" customHeight="1"/>
    <row r="49" spans="9:12" ht="20.25" customHeight="1"/>
    <row r="50" spans="9:12" ht="20.25" customHeight="1">
      <c r="L50" s="3" t="s">
        <v>37</v>
      </c>
    </row>
    <row r="51" spans="9:12" ht="20.25" customHeight="1"/>
    <row r="52" spans="9:12" ht="20.25" customHeight="1"/>
    <row r="53" spans="9:12" ht="21" customHeight="1"/>
    <row r="54" spans="9:12" ht="21" customHeight="1"/>
    <row r="55" spans="9:12" ht="18" customHeight="1"/>
    <row r="56" spans="9:12" ht="18" customHeight="1">
      <c r="I56" s="108"/>
      <c r="J56" s="33"/>
    </row>
    <row r="57" spans="9:12" ht="18" customHeight="1"/>
    <row r="58" spans="9:12" ht="18" customHeight="1"/>
    <row r="59" spans="9:12" ht="18" customHeight="1"/>
    <row r="60" spans="9:12" ht="18" customHeight="1"/>
    <row r="61" spans="9:12" ht="18" customHeight="1"/>
    <row r="62" spans="9:12" ht="18" customHeight="1"/>
    <row r="63" spans="9:12" ht="18" customHeight="1"/>
    <row r="69" spans="2:13" s="34" customFormat="1" ht="27.6" customHeight="1">
      <c r="B69" s="3"/>
      <c r="C69" s="3"/>
      <c r="D69" s="3"/>
      <c r="E69" s="98"/>
      <c r="F69" s="98"/>
      <c r="G69" s="98"/>
      <c r="H69" s="98"/>
      <c r="I69" s="98"/>
      <c r="J69" s="3"/>
      <c r="K69" s="3"/>
      <c r="L69" s="3"/>
      <c r="M69" s="98"/>
    </row>
  </sheetData>
  <mergeCells count="14">
    <mergeCell ref="G2:G3"/>
    <mergeCell ref="M24:M25"/>
    <mergeCell ref="L24:L25"/>
    <mergeCell ref="B2:B3"/>
    <mergeCell ref="C2:C3"/>
    <mergeCell ref="D2:D3"/>
    <mergeCell ref="E2:E3"/>
    <mergeCell ref="F2:F3"/>
    <mergeCell ref="M10:M14"/>
    <mergeCell ref="H2:I2"/>
    <mergeCell ref="J2:J3"/>
    <mergeCell ref="K2:K3"/>
    <mergeCell ref="L2:L3"/>
    <mergeCell ref="M2:M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77A1-676D-4004-A798-28D9CE806587}">
  <dimension ref="B2:M62"/>
  <sheetViews>
    <sheetView topLeftCell="A4" zoomScale="80" zoomScaleNormal="80" workbookViewId="0">
      <selection activeCell="B5" sqref="B5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95.28515625" style="3" customWidth="1"/>
    <col min="4" max="4" width="9.42578125" style="3" customWidth="1"/>
    <col min="5" max="5" width="14.42578125" style="98" customWidth="1"/>
    <col min="6" max="7" width="14.28515625" style="98" customWidth="1"/>
    <col min="8" max="9" width="11.7109375" style="98" customWidth="1"/>
    <col min="10" max="10" width="11.7109375" style="3" customWidth="1"/>
    <col min="11" max="11" width="17" style="3" customWidth="1"/>
    <col min="12" max="12" width="18.7109375" style="3" bestFit="1" customWidth="1"/>
    <col min="13" max="13" width="58.42578125" style="98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68" t="s">
        <v>1</v>
      </c>
      <c r="D2" s="269" t="s">
        <v>2</v>
      </c>
      <c r="E2" s="267" t="s">
        <v>3</v>
      </c>
      <c r="F2" s="267" t="s">
        <v>4</v>
      </c>
      <c r="G2" s="267" t="s">
        <v>5</v>
      </c>
      <c r="H2" s="265" t="s">
        <v>6</v>
      </c>
      <c r="I2" s="265"/>
      <c r="J2" s="243" t="s">
        <v>7</v>
      </c>
      <c r="K2" s="269" t="s">
        <v>8</v>
      </c>
      <c r="L2" s="273" t="s">
        <v>9</v>
      </c>
      <c r="M2" s="274" t="s">
        <v>10</v>
      </c>
    </row>
    <row r="3" spans="2:13" ht="21" customHeight="1">
      <c r="B3" s="246"/>
      <c r="C3" s="268"/>
      <c r="D3" s="269"/>
      <c r="E3" s="267"/>
      <c r="F3" s="267"/>
      <c r="G3" s="267"/>
      <c r="H3" s="104" t="s">
        <v>11</v>
      </c>
      <c r="I3" s="104" t="s">
        <v>12</v>
      </c>
      <c r="J3" s="243"/>
      <c r="K3" s="269"/>
      <c r="L3" s="273"/>
      <c r="M3" s="274"/>
    </row>
    <row r="4" spans="2:13" s="70" customFormat="1" ht="21" customHeight="1">
      <c r="B4" s="17" t="s">
        <v>199</v>
      </c>
      <c r="C4" s="18" t="s">
        <v>200</v>
      </c>
      <c r="D4" s="95" t="s">
        <v>14</v>
      </c>
      <c r="E4" s="96">
        <v>1500</v>
      </c>
      <c r="F4" s="96">
        <v>1520</v>
      </c>
      <c r="G4" s="96">
        <v>48</v>
      </c>
      <c r="H4" s="105">
        <v>0.46180555555555558</v>
      </c>
      <c r="I4" s="105">
        <v>0.4826388888888889</v>
      </c>
      <c r="J4" s="85">
        <f t="shared" ref="J4:J14" si="0">I4-H4</f>
        <v>2.0833333333333315E-2</v>
      </c>
      <c r="K4" s="10">
        <f t="shared" ref="K4:K14" si="1">IFERROR((J4*24*60)/F4,"")</f>
        <v>1.9736842105263139E-2</v>
      </c>
      <c r="L4" s="115"/>
      <c r="M4" s="109" t="s">
        <v>15</v>
      </c>
    </row>
    <row r="5" spans="2:13" s="70" customFormat="1" ht="21" customHeight="1">
      <c r="B5" s="22" t="s">
        <v>201</v>
      </c>
      <c r="C5" s="18"/>
      <c r="D5" s="95" t="s">
        <v>17</v>
      </c>
      <c r="E5" s="96">
        <v>1500</v>
      </c>
      <c r="F5" s="96">
        <v>1480</v>
      </c>
      <c r="G5" s="96">
        <v>48</v>
      </c>
      <c r="H5" s="105">
        <v>0.4826388888888889</v>
      </c>
      <c r="I5" s="105">
        <v>0.5</v>
      </c>
      <c r="J5" s="85">
        <f t="shared" si="0"/>
        <v>1.7361111111111105E-2</v>
      </c>
      <c r="K5" s="101">
        <f t="shared" si="1"/>
        <v>1.6891891891891886E-2</v>
      </c>
      <c r="L5" s="115"/>
      <c r="M5" s="110"/>
    </row>
    <row r="6" spans="2:13" s="70" customFormat="1" ht="21" customHeight="1">
      <c r="B6" s="17"/>
      <c r="C6" s="18"/>
      <c r="D6" s="95" t="s">
        <v>18</v>
      </c>
      <c r="E6" s="96">
        <v>1500</v>
      </c>
      <c r="F6" s="96">
        <v>1520</v>
      </c>
      <c r="G6" s="96">
        <v>48</v>
      </c>
      <c r="H6" s="105">
        <v>0.5</v>
      </c>
      <c r="I6" s="105">
        <v>0.51736111111111116</v>
      </c>
      <c r="J6" s="85">
        <f t="shared" si="0"/>
        <v>1.736111111111116E-2</v>
      </c>
      <c r="K6" s="101">
        <f t="shared" si="1"/>
        <v>1.6447368421052679E-2</v>
      </c>
      <c r="L6" s="115"/>
      <c r="M6" s="109"/>
    </row>
    <row r="7" spans="2:13" s="70" customFormat="1" ht="21" customHeight="1">
      <c r="B7" s="17"/>
      <c r="C7" s="18"/>
      <c r="D7" s="95" t="s">
        <v>19</v>
      </c>
      <c r="E7" s="96">
        <v>1500</v>
      </c>
      <c r="F7" s="96">
        <v>1480</v>
      </c>
      <c r="G7" s="96">
        <v>48</v>
      </c>
      <c r="H7" s="105">
        <v>0.51736111111111116</v>
      </c>
      <c r="I7" s="105">
        <v>0.53125</v>
      </c>
      <c r="J7" s="85">
        <f t="shared" si="0"/>
        <v>1.388888888888884E-2</v>
      </c>
      <c r="K7" s="101">
        <f t="shared" si="1"/>
        <v>1.3513513513513466E-2</v>
      </c>
      <c r="L7" s="115"/>
      <c r="M7" s="109"/>
    </row>
    <row r="8" spans="2:13" s="70" customFormat="1" ht="21" customHeight="1">
      <c r="B8" s="17"/>
      <c r="C8" s="18"/>
      <c r="D8" s="74" t="s">
        <v>20</v>
      </c>
      <c r="E8" s="75">
        <v>1500</v>
      </c>
      <c r="F8" s="75">
        <v>1520</v>
      </c>
      <c r="G8" s="75">
        <v>22</v>
      </c>
      <c r="H8" s="76">
        <v>0.5</v>
      </c>
      <c r="I8" s="76">
        <v>0.54861111111111116</v>
      </c>
      <c r="J8" s="77">
        <f t="shared" si="0"/>
        <v>4.861111111111116E-2</v>
      </c>
      <c r="K8" s="101">
        <f t="shared" si="1"/>
        <v>4.6052631578947414E-2</v>
      </c>
      <c r="L8" s="118"/>
      <c r="M8" s="80" t="s">
        <v>202</v>
      </c>
    </row>
    <row r="9" spans="2:13" s="70" customFormat="1" ht="21" customHeight="1">
      <c r="B9" s="17"/>
      <c r="C9" s="116"/>
      <c r="D9" s="95" t="s">
        <v>21</v>
      </c>
      <c r="E9" s="96">
        <v>1500</v>
      </c>
      <c r="F9" s="96">
        <v>1480</v>
      </c>
      <c r="G9" s="96">
        <v>48</v>
      </c>
      <c r="H9" s="105">
        <v>0.53125</v>
      </c>
      <c r="I9" s="81">
        <v>0.54861111111111116</v>
      </c>
      <c r="J9" s="85">
        <f t="shared" si="0"/>
        <v>1.736111111111116E-2</v>
      </c>
      <c r="K9" s="101">
        <f t="shared" si="1"/>
        <v>1.6891891891891941E-2</v>
      </c>
      <c r="L9" s="115"/>
      <c r="M9" s="110"/>
    </row>
    <row r="10" spans="2:13" ht="21" customHeight="1">
      <c r="B10" s="17"/>
      <c r="C10" s="18"/>
      <c r="D10" s="95" t="s">
        <v>22</v>
      </c>
      <c r="E10" s="96">
        <v>1500</v>
      </c>
      <c r="F10" s="96">
        <v>1520</v>
      </c>
      <c r="G10" s="96">
        <v>48</v>
      </c>
      <c r="H10" s="81">
        <v>0.54861111111111116</v>
      </c>
      <c r="I10" s="81">
        <v>0.5625</v>
      </c>
      <c r="J10" s="85">
        <f t="shared" si="0"/>
        <v>1.388888888888884E-2</v>
      </c>
      <c r="K10" s="101">
        <f t="shared" si="1"/>
        <v>1.3157894736842058E-2</v>
      </c>
      <c r="L10" s="79"/>
      <c r="M10" s="110"/>
    </row>
    <row r="11" spans="2:13" ht="21" customHeight="1">
      <c r="B11" s="17"/>
      <c r="C11" s="4"/>
      <c r="D11" s="95" t="s">
        <v>23</v>
      </c>
      <c r="E11" s="96">
        <v>1500</v>
      </c>
      <c r="F11" s="96">
        <v>1480</v>
      </c>
      <c r="G11" s="96">
        <v>48</v>
      </c>
      <c r="H11" s="81">
        <v>0.5625</v>
      </c>
      <c r="I11" s="81">
        <v>0.57986111111111116</v>
      </c>
      <c r="J11" s="85">
        <f t="shared" si="0"/>
        <v>1.736111111111116E-2</v>
      </c>
      <c r="K11" s="101">
        <f t="shared" si="1"/>
        <v>1.6891891891891941E-2</v>
      </c>
      <c r="L11" s="12"/>
      <c r="M11" s="110"/>
    </row>
    <row r="12" spans="2:13" ht="21" customHeight="1">
      <c r="B12" s="17"/>
      <c r="C12" s="4"/>
      <c r="D12" s="74" t="s">
        <v>24</v>
      </c>
      <c r="E12" s="75">
        <v>1500</v>
      </c>
      <c r="F12" s="75">
        <v>1520</v>
      </c>
      <c r="G12" s="75">
        <v>22</v>
      </c>
      <c r="H12" s="76">
        <v>0.54861111111111116</v>
      </c>
      <c r="I12" s="76">
        <v>0.60416666666666663</v>
      </c>
      <c r="J12" s="77">
        <f t="shared" si="0"/>
        <v>5.5555555555555469E-2</v>
      </c>
      <c r="K12" s="78">
        <f t="shared" si="1"/>
        <v>5.2631578947368335E-2</v>
      </c>
      <c r="L12" s="80"/>
      <c r="M12" s="270" t="s">
        <v>202</v>
      </c>
    </row>
    <row r="13" spans="2:13" ht="21" customHeight="1">
      <c r="B13" s="17"/>
      <c r="C13" s="4"/>
      <c r="D13" s="74" t="s">
        <v>25</v>
      </c>
      <c r="E13" s="75">
        <v>1500</v>
      </c>
      <c r="F13" s="75">
        <v>1520</v>
      </c>
      <c r="G13" s="75">
        <v>22</v>
      </c>
      <c r="H13" s="76">
        <v>0.60416666666666663</v>
      </c>
      <c r="I13" s="76">
        <v>0.65625</v>
      </c>
      <c r="J13" s="77">
        <f t="shared" si="0"/>
        <v>5.208333333333337E-2</v>
      </c>
      <c r="K13" s="78">
        <f t="shared" si="1"/>
        <v>4.934210526315793E-2</v>
      </c>
      <c r="L13" s="80"/>
      <c r="M13" s="271"/>
    </row>
    <row r="14" spans="2:13" ht="21" customHeight="1">
      <c r="B14" s="4"/>
      <c r="C14" s="4"/>
      <c r="D14" s="74" t="s">
        <v>26</v>
      </c>
      <c r="E14" s="75">
        <v>1500</v>
      </c>
      <c r="F14" s="75">
        <v>1640</v>
      </c>
      <c r="G14" s="75">
        <v>22</v>
      </c>
      <c r="H14" s="76">
        <v>0.65625</v>
      </c>
      <c r="I14" s="76">
        <v>0.73958333333333337</v>
      </c>
      <c r="J14" s="77">
        <f t="shared" si="0"/>
        <v>8.333333333333337E-2</v>
      </c>
      <c r="K14" s="78">
        <f t="shared" si="1"/>
        <v>7.317073170731711E-2</v>
      </c>
      <c r="L14" s="80"/>
      <c r="M14" s="272"/>
    </row>
    <row r="15" spans="2:13" ht="21" customHeight="1">
      <c r="B15" s="4"/>
      <c r="C15" s="4"/>
      <c r="D15" s="24" t="s">
        <v>28</v>
      </c>
      <c r="E15" s="7"/>
      <c r="F15" s="7">
        <v>34</v>
      </c>
      <c r="G15" s="7"/>
      <c r="H15" s="8"/>
      <c r="I15" s="8"/>
      <c r="J15" s="9"/>
      <c r="K15" s="78"/>
      <c r="L15" s="80"/>
      <c r="M15" s="80"/>
    </row>
    <row r="16" spans="2:13" ht="21" customHeight="1">
      <c r="B16" s="4"/>
      <c r="C16" s="55"/>
      <c r="D16" s="24" t="s">
        <v>29</v>
      </c>
      <c r="E16" s="96"/>
      <c r="F16" s="96">
        <v>12</v>
      </c>
      <c r="G16" s="96"/>
      <c r="H16" s="105"/>
      <c r="I16" s="105"/>
      <c r="J16" s="85"/>
      <c r="K16" s="101"/>
      <c r="L16" s="90"/>
      <c r="M16" s="109"/>
    </row>
    <row r="17" spans="2:13" ht="21" customHeight="1">
      <c r="B17" s="4"/>
      <c r="C17" s="55"/>
      <c r="D17" s="24" t="s">
        <v>203</v>
      </c>
      <c r="E17" s="96"/>
      <c r="F17" s="96">
        <v>12</v>
      </c>
      <c r="G17" s="96"/>
      <c r="H17" s="105"/>
      <c r="I17" s="105"/>
      <c r="J17" s="85"/>
      <c r="K17" s="101"/>
      <c r="L17" s="90"/>
      <c r="M17" s="109"/>
    </row>
    <row r="18" spans="2:13" ht="21" customHeight="1">
      <c r="B18" s="4"/>
      <c r="C18" s="55"/>
      <c r="D18" s="24" t="s">
        <v>30</v>
      </c>
      <c r="E18" s="24" t="s">
        <v>30</v>
      </c>
      <c r="F18" s="24" t="s">
        <v>30</v>
      </c>
      <c r="G18" s="96">
        <v>10</v>
      </c>
      <c r="H18" s="81">
        <v>0.57986111111111116</v>
      </c>
      <c r="I18" s="81">
        <v>0.62152777777777801</v>
      </c>
      <c r="J18" s="85">
        <f t="shared" ref="J18:J24" si="2">I18-H18</f>
        <v>4.1666666666666852E-2</v>
      </c>
      <c r="K18" s="101"/>
      <c r="L18" s="90"/>
      <c r="M18" s="110" t="s">
        <v>51</v>
      </c>
    </row>
    <row r="19" spans="2:13" ht="23.25" customHeight="1">
      <c r="B19" s="17"/>
      <c r="C19" s="18" t="s">
        <v>204</v>
      </c>
      <c r="D19" s="92" t="s">
        <v>14</v>
      </c>
      <c r="E19" s="96">
        <v>1000</v>
      </c>
      <c r="F19" s="93">
        <v>1008</v>
      </c>
      <c r="G19" s="117" t="s">
        <v>175</v>
      </c>
      <c r="H19" s="81">
        <v>0.63194444444444442</v>
      </c>
      <c r="I19" s="81">
        <v>0.65972222222222221</v>
      </c>
      <c r="J19" s="85">
        <f t="shared" si="2"/>
        <v>2.777777777777779E-2</v>
      </c>
      <c r="K19" s="94">
        <f t="shared" ref="K19:K24" si="3">IFERROR((J19*24*60)/F19,"")</f>
        <v>3.9682539682539694E-2</v>
      </c>
      <c r="L19" s="21" t="s">
        <v>205</v>
      </c>
      <c r="M19" s="109" t="s">
        <v>206</v>
      </c>
    </row>
    <row r="20" spans="2:13" ht="23.25" customHeight="1">
      <c r="B20" s="17"/>
      <c r="C20" s="26"/>
      <c r="D20" s="92" t="s">
        <v>17</v>
      </c>
      <c r="E20" s="96">
        <v>1000</v>
      </c>
      <c r="F20" s="93">
        <v>984</v>
      </c>
      <c r="G20" s="117" t="s">
        <v>95</v>
      </c>
      <c r="H20" s="81">
        <v>0.65972222222222221</v>
      </c>
      <c r="I20" s="81">
        <v>0.67361111111111116</v>
      </c>
      <c r="J20" s="85">
        <f t="shared" si="2"/>
        <v>1.3888888888888951E-2</v>
      </c>
      <c r="K20" s="94">
        <f t="shared" si="3"/>
        <v>2.032520325203261E-2</v>
      </c>
      <c r="L20" s="21"/>
      <c r="M20" s="109"/>
    </row>
    <row r="21" spans="2:13" ht="23.25" customHeight="1">
      <c r="B21" s="17"/>
      <c r="C21" s="26"/>
      <c r="D21" s="95" t="s">
        <v>18</v>
      </c>
      <c r="E21" s="96">
        <v>1000</v>
      </c>
      <c r="F21" s="96">
        <v>1008</v>
      </c>
      <c r="G21" s="102" t="s">
        <v>95</v>
      </c>
      <c r="H21" s="81">
        <v>0.67361111111111116</v>
      </c>
      <c r="I21" s="81">
        <v>0.6875</v>
      </c>
      <c r="J21" s="85">
        <f t="shared" si="2"/>
        <v>1.388888888888884E-2</v>
      </c>
      <c r="K21" s="10">
        <f t="shared" si="3"/>
        <v>1.9841269841269771E-2</v>
      </c>
      <c r="L21" s="21"/>
      <c r="M21" s="110"/>
    </row>
    <row r="22" spans="2:13" ht="23.25" customHeight="1">
      <c r="B22" s="17"/>
      <c r="C22" s="55"/>
      <c r="D22" s="95" t="s">
        <v>19</v>
      </c>
      <c r="E22" s="96">
        <v>1000</v>
      </c>
      <c r="F22" s="96">
        <v>984</v>
      </c>
      <c r="G22" s="102" t="s">
        <v>95</v>
      </c>
      <c r="H22" s="81">
        <v>0.6875</v>
      </c>
      <c r="I22" s="81">
        <v>0.70138888888888884</v>
      </c>
      <c r="J22" s="85">
        <f t="shared" si="2"/>
        <v>1.388888888888884E-2</v>
      </c>
      <c r="K22" s="10">
        <f t="shared" si="3"/>
        <v>2.0325203252032447E-2</v>
      </c>
      <c r="L22" s="21"/>
      <c r="M22" s="109"/>
    </row>
    <row r="23" spans="2:13" ht="23.25" customHeight="1">
      <c r="B23" s="17"/>
      <c r="C23" s="26"/>
      <c r="D23" s="95" t="s">
        <v>20</v>
      </c>
      <c r="E23" s="96">
        <v>1000</v>
      </c>
      <c r="F23" s="96">
        <v>1032</v>
      </c>
      <c r="G23" s="102" t="s">
        <v>95</v>
      </c>
      <c r="H23" s="81">
        <v>0.70138888888888884</v>
      </c>
      <c r="I23" s="105">
        <v>0.71875</v>
      </c>
      <c r="J23" s="85">
        <f t="shared" si="2"/>
        <v>1.736111111111116E-2</v>
      </c>
      <c r="K23" s="10">
        <f t="shared" si="3"/>
        <v>2.4224806201550455E-2</v>
      </c>
      <c r="L23" s="21"/>
      <c r="M23" s="109"/>
    </row>
    <row r="24" spans="2:13" ht="23.25" customHeight="1">
      <c r="B24" s="17"/>
      <c r="C24" s="26"/>
      <c r="D24" s="95" t="s">
        <v>21</v>
      </c>
      <c r="E24" s="96">
        <v>1000</v>
      </c>
      <c r="F24" s="96">
        <v>1008</v>
      </c>
      <c r="G24" s="102" t="s">
        <v>95</v>
      </c>
      <c r="H24" s="105">
        <v>0.71875</v>
      </c>
      <c r="I24" s="105">
        <v>0.73263888888888884</v>
      </c>
      <c r="J24" s="85">
        <f t="shared" si="2"/>
        <v>1.388888888888884E-2</v>
      </c>
      <c r="K24" s="94">
        <f t="shared" si="3"/>
        <v>1.9841269841269771E-2</v>
      </c>
      <c r="L24" s="57"/>
      <c r="M24" s="114"/>
    </row>
    <row r="25" spans="2:13" ht="23.25" customHeight="1">
      <c r="B25" s="17"/>
      <c r="C25" s="26"/>
      <c r="D25" s="24" t="s">
        <v>28</v>
      </c>
      <c r="E25" s="96"/>
      <c r="F25" s="96">
        <v>4</v>
      </c>
      <c r="G25" s="102"/>
      <c r="H25" s="105"/>
      <c r="I25" s="105"/>
      <c r="J25" s="85"/>
      <c r="K25" s="78"/>
      <c r="L25" s="21"/>
      <c r="M25" s="111"/>
    </row>
    <row r="26" spans="2:13" ht="23.25" customHeight="1">
      <c r="B26" s="17"/>
      <c r="C26" s="26"/>
      <c r="D26" s="24" t="s">
        <v>29</v>
      </c>
      <c r="E26" s="96"/>
      <c r="F26" s="96">
        <v>8</v>
      </c>
      <c r="G26" s="102"/>
      <c r="H26" s="105"/>
      <c r="I26" s="105"/>
      <c r="J26" s="85"/>
      <c r="K26" s="10"/>
      <c r="L26" s="21"/>
      <c r="M26" s="109"/>
    </row>
    <row r="27" spans="2:13" ht="23.25" customHeight="1">
      <c r="B27" s="17"/>
      <c r="C27" s="26"/>
      <c r="D27" s="24" t="s">
        <v>30</v>
      </c>
      <c r="E27" s="24" t="s">
        <v>30</v>
      </c>
      <c r="F27" s="24" t="s">
        <v>30</v>
      </c>
      <c r="G27" s="102" t="s">
        <v>95</v>
      </c>
      <c r="H27" s="105">
        <v>0.73263888888888884</v>
      </c>
      <c r="I27" s="105">
        <v>0.73958333333333337</v>
      </c>
      <c r="J27" s="85">
        <f t="shared" ref="J27:J34" si="4">I27-H27</f>
        <v>6.9444444444445308E-3</v>
      </c>
      <c r="K27" s="10"/>
      <c r="L27" s="21"/>
      <c r="M27" s="109"/>
    </row>
    <row r="28" spans="2:13" ht="23.25" customHeight="1">
      <c r="B28" s="17"/>
      <c r="C28" s="26" t="s">
        <v>207</v>
      </c>
      <c r="D28" s="24" t="s">
        <v>14</v>
      </c>
      <c r="E28" s="96">
        <v>1000</v>
      </c>
      <c r="F28" s="96">
        <v>1026</v>
      </c>
      <c r="G28" s="102" t="s">
        <v>91</v>
      </c>
      <c r="H28" s="105">
        <v>0.73958333333333337</v>
      </c>
      <c r="I28" s="105">
        <v>0.76041666666666663</v>
      </c>
      <c r="J28" s="85">
        <f t="shared" si="4"/>
        <v>2.0833333333333259E-2</v>
      </c>
      <c r="K28" s="10">
        <f t="shared" ref="K28:K34" si="5">IFERROR((J28*24*60)/F28,"")</f>
        <v>2.9239766081871243E-2</v>
      </c>
      <c r="L28" s="21"/>
      <c r="M28" s="109"/>
    </row>
    <row r="29" spans="2:13" ht="23.25" customHeight="1">
      <c r="B29" s="17"/>
      <c r="C29" s="26"/>
      <c r="D29" s="24" t="s">
        <v>17</v>
      </c>
      <c r="E29" s="96">
        <v>1000</v>
      </c>
      <c r="F29" s="96">
        <v>999</v>
      </c>
      <c r="G29" s="102" t="s">
        <v>91</v>
      </c>
      <c r="H29" s="105">
        <v>0.76041666666666663</v>
      </c>
      <c r="I29" s="105">
        <v>0.77777777777777779</v>
      </c>
      <c r="J29" s="85">
        <f t="shared" si="4"/>
        <v>1.736111111111116E-2</v>
      </c>
      <c r="K29" s="10">
        <f t="shared" si="5"/>
        <v>2.5025025025025096E-2</v>
      </c>
      <c r="L29" s="21"/>
      <c r="M29" s="109"/>
    </row>
    <row r="30" spans="2:13" ht="23.25" customHeight="1">
      <c r="B30" s="17"/>
      <c r="C30" s="26"/>
      <c r="D30" s="24" t="s">
        <v>18</v>
      </c>
      <c r="E30" s="96">
        <v>1000</v>
      </c>
      <c r="F30" s="96">
        <v>999</v>
      </c>
      <c r="G30" s="102" t="s">
        <v>91</v>
      </c>
      <c r="H30" s="105">
        <v>0.77777777777777779</v>
      </c>
      <c r="I30" s="105">
        <v>0.79166666666666663</v>
      </c>
      <c r="J30" s="85">
        <f t="shared" si="4"/>
        <v>1.388888888888884E-2</v>
      </c>
      <c r="K30" s="10">
        <f t="shared" si="5"/>
        <v>2.002002002001995E-2</v>
      </c>
      <c r="L30" s="21"/>
      <c r="M30" s="109"/>
    </row>
    <row r="31" spans="2:13" ht="23.25" customHeight="1">
      <c r="B31" s="17"/>
      <c r="C31" s="26"/>
      <c r="D31" s="24" t="s">
        <v>19</v>
      </c>
      <c r="E31" s="96">
        <v>1000</v>
      </c>
      <c r="F31" s="96">
        <v>972</v>
      </c>
      <c r="G31" s="102" t="s">
        <v>91</v>
      </c>
      <c r="H31" s="105">
        <v>0.79166666666666663</v>
      </c>
      <c r="I31" s="105">
        <v>0.80208333333333337</v>
      </c>
      <c r="J31" s="85">
        <f t="shared" si="4"/>
        <v>1.0416666666666741E-2</v>
      </c>
      <c r="K31" s="10">
        <f t="shared" si="5"/>
        <v>1.5432098765432209E-2</v>
      </c>
      <c r="L31" s="21"/>
      <c r="M31" s="109"/>
    </row>
    <row r="32" spans="2:13" ht="23.25" customHeight="1">
      <c r="B32" s="17"/>
      <c r="C32" s="26"/>
      <c r="D32" s="24" t="s">
        <v>20</v>
      </c>
      <c r="E32" s="96">
        <v>1000</v>
      </c>
      <c r="F32" s="96">
        <v>1026</v>
      </c>
      <c r="G32" s="102" t="s">
        <v>91</v>
      </c>
      <c r="H32" s="105">
        <v>0.80208333333333337</v>
      </c>
      <c r="I32" s="105">
        <v>0.81597222222222221</v>
      </c>
      <c r="J32" s="9">
        <f t="shared" si="4"/>
        <v>1.388888888888884E-2</v>
      </c>
      <c r="K32" s="10">
        <f t="shared" si="5"/>
        <v>1.949317738791416E-2</v>
      </c>
      <c r="L32" s="21"/>
      <c r="M32" s="109"/>
    </row>
    <row r="33" spans="2:13" ht="23.25" customHeight="1">
      <c r="B33" s="17"/>
      <c r="C33" s="26"/>
      <c r="D33" s="36" t="s">
        <v>21</v>
      </c>
      <c r="E33" s="96">
        <v>1000</v>
      </c>
      <c r="F33" s="96">
        <v>1026</v>
      </c>
      <c r="G33" s="102" t="s">
        <v>91</v>
      </c>
      <c r="H33" s="105">
        <v>0.81597222222222221</v>
      </c>
      <c r="I33" s="105">
        <v>0.82986111111111116</v>
      </c>
      <c r="J33" s="9">
        <f t="shared" si="4"/>
        <v>1.3888888888888951E-2</v>
      </c>
      <c r="K33" s="10">
        <f t="shared" si="5"/>
        <v>1.9493177387914316E-2</v>
      </c>
      <c r="L33" s="21"/>
      <c r="M33" s="109"/>
    </row>
    <row r="34" spans="2:13" ht="23.25" customHeight="1">
      <c r="B34" s="17"/>
      <c r="C34" s="26"/>
      <c r="D34" s="36" t="s">
        <v>22</v>
      </c>
      <c r="E34" s="96">
        <v>1000</v>
      </c>
      <c r="F34" s="96">
        <v>1134</v>
      </c>
      <c r="G34" s="102" t="s">
        <v>91</v>
      </c>
      <c r="H34" s="105">
        <v>0.82986111111111116</v>
      </c>
      <c r="I34" s="105">
        <v>0.84027777777777779</v>
      </c>
      <c r="J34" s="9">
        <f t="shared" si="4"/>
        <v>1.041666666666663E-2</v>
      </c>
      <c r="K34" s="10">
        <f t="shared" si="5"/>
        <v>1.322751322751318E-2</v>
      </c>
      <c r="L34" s="21"/>
      <c r="M34" s="109"/>
    </row>
    <row r="35" spans="2:13" ht="23.25" customHeight="1">
      <c r="B35" s="17"/>
      <c r="C35" s="26"/>
      <c r="D35" s="24" t="s">
        <v>28</v>
      </c>
      <c r="E35" s="96"/>
      <c r="F35" s="96">
        <v>0</v>
      </c>
      <c r="G35" s="102"/>
      <c r="H35" s="105"/>
      <c r="I35" s="105"/>
      <c r="J35" s="9"/>
      <c r="K35" s="10"/>
      <c r="L35" s="21"/>
      <c r="M35" s="109"/>
    </row>
    <row r="36" spans="2:13" ht="23.25" customHeight="1">
      <c r="B36" s="17"/>
      <c r="C36" s="26"/>
      <c r="D36" s="24" t="s">
        <v>29</v>
      </c>
      <c r="E36" s="96"/>
      <c r="F36" s="96">
        <v>8</v>
      </c>
      <c r="G36" s="102"/>
      <c r="H36" s="105"/>
      <c r="I36" s="105"/>
      <c r="J36" s="9"/>
      <c r="K36" s="10"/>
      <c r="L36" s="21"/>
      <c r="M36" s="109"/>
    </row>
    <row r="37" spans="2:13" ht="24" customHeight="1">
      <c r="B37" s="56"/>
      <c r="C37" s="28" t="s">
        <v>36</v>
      </c>
      <c r="D37" s="29"/>
      <c r="E37" s="97">
        <f>SUM(E4:E36)</f>
        <v>29500</v>
      </c>
      <c r="F37" s="100">
        <f>SUM(F4:F36)</f>
        <v>29964</v>
      </c>
      <c r="G37" s="103"/>
      <c r="H37" s="103"/>
      <c r="I37" s="106"/>
      <c r="J37" s="65"/>
      <c r="K37" s="64"/>
      <c r="L37" s="64"/>
      <c r="M37" s="112"/>
    </row>
    <row r="38" spans="2:13" ht="24" customHeight="1">
      <c r="B38" s="32"/>
      <c r="I38" s="107"/>
      <c r="J38" s="31"/>
    </row>
    <row r="39" spans="2:13" ht="20.25" customHeight="1">
      <c r="I39" s="107"/>
      <c r="J39" s="31"/>
    </row>
    <row r="40" spans="2:13" ht="20.25" customHeight="1">
      <c r="I40" s="107"/>
      <c r="J40" s="31"/>
    </row>
    <row r="41" spans="2:13" ht="20.25" customHeight="1"/>
    <row r="42" spans="2:13" ht="20.25" customHeight="1"/>
    <row r="43" spans="2:13" ht="20.25" customHeight="1">
      <c r="L43" s="3" t="s">
        <v>37</v>
      </c>
    </row>
    <row r="44" spans="2:13" ht="20.25" customHeight="1"/>
    <row r="45" spans="2:13" ht="20.25" customHeight="1"/>
    <row r="46" spans="2:13" ht="21" customHeight="1"/>
    <row r="47" spans="2:13" ht="21" customHeight="1"/>
    <row r="48" spans="2:13" ht="18" customHeight="1"/>
    <row r="49" spans="2:13" ht="18" customHeight="1">
      <c r="I49" s="108"/>
      <c r="J49" s="33"/>
    </row>
    <row r="50" spans="2:13" ht="18" customHeight="1"/>
    <row r="51" spans="2:13" ht="18" customHeight="1"/>
    <row r="52" spans="2:13" ht="18" customHeight="1"/>
    <row r="53" spans="2:13" ht="18" customHeight="1"/>
    <row r="54" spans="2:13" ht="18" customHeight="1"/>
    <row r="55" spans="2:13" ht="18" customHeight="1"/>
    <row r="56" spans="2:13" ht="18" customHeight="1"/>
    <row r="62" spans="2:13" s="34" customFormat="1" ht="27.6" customHeight="1">
      <c r="B62" s="3"/>
      <c r="C62" s="3"/>
      <c r="D62" s="3"/>
      <c r="E62" s="98"/>
      <c r="F62" s="98"/>
      <c r="G62" s="98"/>
      <c r="H62" s="98"/>
      <c r="I62" s="98"/>
      <c r="J62" s="3"/>
      <c r="K62" s="3"/>
      <c r="L62" s="3"/>
      <c r="M62" s="98"/>
    </row>
  </sheetData>
  <mergeCells count="12">
    <mergeCell ref="M12:M14"/>
    <mergeCell ref="H2:I2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ageMargins left="0.25" right="0.25" top="0.28999999999999998" bottom="0.26" header="0.23" footer="0.18"/>
  <pageSetup scale="42" fitToHeight="0" orientation="landscape" r:id="rId1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0F8D-D38A-4CB8-BD9A-97C2BBAEA2A6}">
  <dimension ref="B2:K40"/>
  <sheetViews>
    <sheetView zoomScale="80" zoomScaleNormal="80" workbookViewId="0">
      <selection activeCell="I17" sqref="I17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0.85546875" style="3" customWidth="1"/>
    <col min="4" max="4" width="9.42578125" style="3" customWidth="1"/>
    <col min="5" max="5" width="14.42578125" style="98" customWidth="1"/>
    <col min="6" max="6" width="14.28515625" style="98" customWidth="1"/>
    <col min="7" max="8" width="11.7109375" style="98" customWidth="1"/>
    <col min="9" max="9" width="11.7109375" style="3" customWidth="1"/>
    <col min="10" max="10" width="16.7109375" style="3" customWidth="1"/>
    <col min="11" max="11" width="45.7109375" style="98" customWidth="1"/>
    <col min="12" max="12" width="20" style="3" customWidth="1"/>
    <col min="13" max="16384" width="8.7109375" style="3"/>
  </cols>
  <sheetData>
    <row r="2" spans="2:11" s="2" customFormat="1" ht="28.5" customHeight="1">
      <c r="B2" s="222" t="s">
        <v>0</v>
      </c>
      <c r="C2" s="223" t="s">
        <v>1</v>
      </c>
      <c r="D2" s="275" t="s">
        <v>2</v>
      </c>
      <c r="E2" s="224" t="s">
        <v>3</v>
      </c>
      <c r="F2" s="224" t="s">
        <v>5</v>
      </c>
      <c r="G2" s="240" t="s">
        <v>6</v>
      </c>
      <c r="H2" s="240"/>
      <c r="I2" s="226" t="s">
        <v>7</v>
      </c>
      <c r="J2" s="223" t="s">
        <v>208</v>
      </c>
      <c r="K2" s="228" t="s">
        <v>10</v>
      </c>
    </row>
    <row r="3" spans="2:11" ht="21" customHeight="1">
      <c r="B3" s="222"/>
      <c r="C3" s="223"/>
      <c r="D3" s="275"/>
      <c r="E3" s="224"/>
      <c r="F3" s="225"/>
      <c r="G3" s="119" t="s">
        <v>11</v>
      </c>
      <c r="H3" s="119" t="s">
        <v>12</v>
      </c>
      <c r="I3" s="226"/>
      <c r="J3" s="227"/>
      <c r="K3" s="228"/>
    </row>
    <row r="4" spans="2:11" s="129" customFormat="1" ht="33.75" customHeight="1">
      <c r="B4" s="126" t="s">
        <v>209</v>
      </c>
      <c r="C4" s="127" t="s">
        <v>210</v>
      </c>
      <c r="D4" s="128" t="s">
        <v>14</v>
      </c>
      <c r="E4" s="229">
        <v>6000</v>
      </c>
      <c r="F4" s="136">
        <v>26</v>
      </c>
      <c r="G4" s="232">
        <v>0.62847222222222221</v>
      </c>
      <c r="H4" s="235">
        <v>0.75347222222222221</v>
      </c>
      <c r="I4" s="276">
        <f>H4-G4</f>
        <v>0.125</v>
      </c>
      <c r="J4" s="130">
        <v>1</v>
      </c>
      <c r="K4" s="131"/>
    </row>
    <row r="5" spans="2:11" s="70" customFormat="1" ht="33.75" customHeight="1">
      <c r="B5" s="123"/>
      <c r="C5" s="121"/>
      <c r="D5" s="122" t="s">
        <v>17</v>
      </c>
      <c r="E5" s="230"/>
      <c r="F5" s="136">
        <v>26</v>
      </c>
      <c r="G5" s="233"/>
      <c r="H5" s="236"/>
      <c r="I5" s="277"/>
      <c r="J5" s="130">
        <v>1</v>
      </c>
      <c r="K5" s="132"/>
    </row>
    <row r="6" spans="2:11" s="70" customFormat="1" ht="33.75" customHeight="1">
      <c r="B6" s="120"/>
      <c r="C6" s="121"/>
      <c r="D6" s="122" t="s">
        <v>18</v>
      </c>
      <c r="E6" s="230"/>
      <c r="F6" s="136">
        <v>21</v>
      </c>
      <c r="G6" s="233"/>
      <c r="H6" s="236"/>
      <c r="I6" s="277"/>
      <c r="J6" s="130" t="s">
        <v>211</v>
      </c>
      <c r="K6" s="133"/>
    </row>
    <row r="7" spans="2:11" ht="33.75" customHeight="1">
      <c r="B7" s="123"/>
      <c r="C7" s="123"/>
      <c r="D7" s="124" t="s">
        <v>19</v>
      </c>
      <c r="E7" s="231"/>
      <c r="F7" s="136">
        <v>21</v>
      </c>
      <c r="G7" s="234"/>
      <c r="H7" s="236"/>
      <c r="I7" s="278"/>
      <c r="J7" s="130" t="s">
        <v>211</v>
      </c>
      <c r="K7" s="134"/>
    </row>
    <row r="8" spans="2:11" ht="33.75" customHeight="1">
      <c r="B8" s="123"/>
      <c r="C8" s="125"/>
      <c r="D8" s="128" t="s">
        <v>20</v>
      </c>
      <c r="E8" s="279">
        <v>6000</v>
      </c>
      <c r="F8" s="136">
        <v>26</v>
      </c>
      <c r="G8" s="281">
        <v>0.75347222222222221</v>
      </c>
      <c r="H8" s="283">
        <v>0.85763888888888884</v>
      </c>
      <c r="I8" s="285">
        <f>H8-G8</f>
        <v>0.10416666666666663</v>
      </c>
      <c r="J8" s="130">
        <v>1</v>
      </c>
      <c r="K8" s="133"/>
    </row>
    <row r="9" spans="2:11" ht="33.75" customHeight="1">
      <c r="B9" s="123"/>
      <c r="C9" s="125"/>
      <c r="D9" s="122" t="s">
        <v>21</v>
      </c>
      <c r="E9" s="280"/>
      <c r="F9" s="136">
        <v>26</v>
      </c>
      <c r="G9" s="282"/>
      <c r="H9" s="283"/>
      <c r="I9" s="286"/>
      <c r="J9" s="130">
        <v>1</v>
      </c>
      <c r="K9" s="133"/>
    </row>
    <row r="10" spans="2:11" ht="33.75" customHeight="1">
      <c r="B10" s="123"/>
      <c r="C10" s="125"/>
      <c r="D10" s="122" t="s">
        <v>22</v>
      </c>
      <c r="E10" s="280"/>
      <c r="F10" s="136">
        <v>21</v>
      </c>
      <c r="G10" s="282"/>
      <c r="H10" s="283"/>
      <c r="I10" s="286"/>
      <c r="J10" s="130" t="s">
        <v>211</v>
      </c>
      <c r="K10" s="132"/>
    </row>
    <row r="11" spans="2:11" ht="33.75" customHeight="1">
      <c r="B11" s="120"/>
      <c r="C11" s="121"/>
      <c r="D11" s="143" t="s">
        <v>23</v>
      </c>
      <c r="E11" s="280"/>
      <c r="F11" s="138">
        <v>21</v>
      </c>
      <c r="G11" s="282"/>
      <c r="H11" s="284"/>
      <c r="I11" s="286"/>
      <c r="J11" s="139" t="s">
        <v>211</v>
      </c>
      <c r="K11" s="145"/>
    </row>
    <row r="12" spans="2:11" ht="33.75" customHeight="1">
      <c r="B12" s="120"/>
      <c r="C12" s="142"/>
      <c r="D12" s="146" t="s">
        <v>24</v>
      </c>
      <c r="E12" s="137">
        <v>1500</v>
      </c>
      <c r="F12" s="144" t="s">
        <v>120</v>
      </c>
      <c r="G12" s="147">
        <v>0.85763888888888884</v>
      </c>
      <c r="H12" s="147">
        <v>0.88888888888888884</v>
      </c>
      <c r="I12" s="40">
        <f>H12-G12</f>
        <v>3.125E-2</v>
      </c>
      <c r="J12" s="130" t="s">
        <v>211</v>
      </c>
      <c r="K12" s="149"/>
    </row>
    <row r="13" spans="2:11" ht="33.75" customHeight="1">
      <c r="B13" s="120"/>
      <c r="C13" s="141" t="s">
        <v>212</v>
      </c>
      <c r="D13" s="148" t="s">
        <v>14</v>
      </c>
      <c r="E13" s="287">
        <v>3000</v>
      </c>
      <c r="F13" s="289" t="s">
        <v>40</v>
      </c>
      <c r="G13" s="293">
        <v>0.88888888888888884</v>
      </c>
      <c r="H13" s="295">
        <v>0.94444444444444442</v>
      </c>
      <c r="I13" s="297">
        <f>H13-G13</f>
        <v>5.555555555555558E-2</v>
      </c>
      <c r="J13" s="291" t="s">
        <v>213</v>
      </c>
      <c r="K13" s="135"/>
    </row>
    <row r="14" spans="2:11" ht="33.75" customHeight="1">
      <c r="B14" s="120"/>
      <c r="C14" s="142"/>
      <c r="D14" s="140" t="s">
        <v>17</v>
      </c>
      <c r="E14" s="288"/>
      <c r="F14" s="290"/>
      <c r="G14" s="294"/>
      <c r="H14" s="296"/>
      <c r="I14" s="298"/>
      <c r="J14" s="292"/>
      <c r="K14" s="135"/>
    </row>
    <row r="15" spans="2:11" ht="33.75" customHeight="1">
      <c r="B15" s="56"/>
      <c r="C15" s="28" t="s">
        <v>36</v>
      </c>
      <c r="D15" s="29"/>
      <c r="E15" s="97">
        <f>SUM(E4:E14)</f>
        <v>16500</v>
      </c>
      <c r="F15" s="103"/>
      <c r="G15" s="103"/>
      <c r="H15" s="106"/>
      <c r="I15" s="65"/>
      <c r="J15" s="64"/>
      <c r="K15" s="103"/>
    </row>
    <row r="16" spans="2:11" ht="24" customHeight="1">
      <c r="B16" s="32"/>
      <c r="H16" s="107"/>
      <c r="I16" s="31"/>
    </row>
    <row r="17" spans="8:10" ht="20.25" customHeight="1">
      <c r="H17" s="107"/>
      <c r="I17" s="31"/>
    </row>
    <row r="18" spans="8:10" ht="20.25" customHeight="1">
      <c r="H18" s="107"/>
      <c r="I18" s="31"/>
    </row>
    <row r="19" spans="8:10" ht="20.25" customHeight="1"/>
    <row r="20" spans="8:10" ht="20.25" customHeight="1"/>
    <row r="21" spans="8:10" ht="20.25" customHeight="1">
      <c r="J21" s="3" t="s">
        <v>37</v>
      </c>
    </row>
    <row r="22" spans="8:10" ht="20.25" customHeight="1"/>
    <row r="23" spans="8:10" ht="20.25" customHeight="1"/>
    <row r="24" spans="8:10" ht="21" customHeight="1"/>
    <row r="25" spans="8:10" ht="21" customHeight="1"/>
    <row r="26" spans="8:10" ht="18" customHeight="1"/>
    <row r="27" spans="8:10" ht="18" customHeight="1">
      <c r="H27" s="108"/>
      <c r="I27" s="33"/>
    </row>
    <row r="28" spans="8:10" ht="18" customHeight="1"/>
    <row r="29" spans="8:10" ht="18" customHeight="1"/>
    <row r="30" spans="8:10" ht="18" customHeight="1"/>
    <row r="31" spans="8:10" ht="18" customHeight="1"/>
    <row r="32" spans="8:10" ht="18" customHeight="1"/>
    <row r="33" spans="2:11" ht="18" customHeight="1"/>
    <row r="34" spans="2:11" ht="18" customHeight="1"/>
    <row r="40" spans="2:11" s="34" customFormat="1" ht="27.6" customHeight="1">
      <c r="B40" s="3"/>
      <c r="C40" s="3"/>
      <c r="D40" s="3"/>
      <c r="E40" s="98"/>
      <c r="F40" s="98"/>
      <c r="G40" s="98"/>
      <c r="H40" s="98"/>
      <c r="I40" s="3"/>
      <c r="J40" s="3"/>
      <c r="K40" s="98"/>
    </row>
  </sheetData>
  <mergeCells count="23">
    <mergeCell ref="E13:E14"/>
    <mergeCell ref="F13:F14"/>
    <mergeCell ref="J13:J14"/>
    <mergeCell ref="G13:G14"/>
    <mergeCell ref="H13:H14"/>
    <mergeCell ref="I13:I14"/>
    <mergeCell ref="E8:E11"/>
    <mergeCell ref="G8:G11"/>
    <mergeCell ref="H8:H11"/>
    <mergeCell ref="I8:I11"/>
    <mergeCell ref="E4:E7"/>
    <mergeCell ref="G4:G7"/>
    <mergeCell ref="H4:H7"/>
    <mergeCell ref="I2:I3"/>
    <mergeCell ref="J2:J3"/>
    <mergeCell ref="K2:K3"/>
    <mergeCell ref="F2:F3"/>
    <mergeCell ref="I4:I7"/>
    <mergeCell ref="B2:B3"/>
    <mergeCell ref="C2:C3"/>
    <mergeCell ref="D2:D3"/>
    <mergeCell ref="E2:E3"/>
    <mergeCell ref="G2:H2"/>
  </mergeCells>
  <pageMargins left="0.25" right="0.25" top="0.28999999999999998" bottom="0.26" header="0.23" footer="0.18"/>
  <pageSetup paperSize="9" scale="53" fitToWidth="0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B4A3-A64F-476A-BA99-91A81BFE4704}">
  <dimension ref="B2:L40"/>
  <sheetViews>
    <sheetView zoomScale="80" zoomScaleNormal="80" workbookViewId="0">
      <selection activeCell="F12" sqref="F12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0.85546875" style="3" customWidth="1"/>
    <col min="4" max="4" width="9.42578125" style="3" customWidth="1"/>
    <col min="5" max="5" width="14.42578125" style="98" customWidth="1"/>
    <col min="6" max="6" width="14.28515625" style="98" customWidth="1"/>
    <col min="7" max="8" width="11.7109375" style="98" customWidth="1"/>
    <col min="9" max="9" width="11.7109375" style="3" customWidth="1"/>
    <col min="10" max="10" width="16.7109375" style="3" customWidth="1"/>
    <col min="11" max="11" width="45.7109375" style="98" customWidth="1"/>
    <col min="12" max="12" width="20" style="3" customWidth="1"/>
    <col min="13" max="16384" width="8.7109375" style="3"/>
  </cols>
  <sheetData>
    <row r="2" spans="2:12" s="2" customFormat="1" ht="28.5" customHeight="1">
      <c r="B2" s="222" t="s">
        <v>0</v>
      </c>
      <c r="C2" s="223" t="s">
        <v>1</v>
      </c>
      <c r="D2" s="275" t="s">
        <v>2</v>
      </c>
      <c r="E2" s="224" t="s">
        <v>3</v>
      </c>
      <c r="F2" s="224" t="s">
        <v>5</v>
      </c>
      <c r="G2" s="240" t="s">
        <v>6</v>
      </c>
      <c r="H2" s="240"/>
      <c r="I2" s="226" t="s">
        <v>7</v>
      </c>
      <c r="J2" s="223" t="s">
        <v>208</v>
      </c>
      <c r="K2" s="228" t="s">
        <v>10</v>
      </c>
    </row>
    <row r="3" spans="2:12" ht="21" customHeight="1">
      <c r="B3" s="222"/>
      <c r="C3" s="223"/>
      <c r="D3" s="275"/>
      <c r="E3" s="225"/>
      <c r="F3" s="225"/>
      <c r="G3" s="165" t="s">
        <v>11</v>
      </c>
      <c r="H3" s="165" t="s">
        <v>12</v>
      </c>
      <c r="I3" s="305"/>
      <c r="J3" s="227"/>
      <c r="K3" s="228"/>
    </row>
    <row r="4" spans="2:12" s="129" customFormat="1" ht="33.75" customHeight="1">
      <c r="B4" s="126" t="s">
        <v>214</v>
      </c>
      <c r="C4" s="127" t="s">
        <v>215</v>
      </c>
      <c r="D4" s="167" t="s">
        <v>14</v>
      </c>
      <c r="E4" s="306">
        <v>3000</v>
      </c>
      <c r="F4" s="306">
        <v>49</v>
      </c>
      <c r="G4" s="283">
        <v>0.39930555555555558</v>
      </c>
      <c r="H4" s="283">
        <v>0.4548611111111111</v>
      </c>
      <c r="I4" s="300">
        <f>H4-G4</f>
        <v>5.5555555555555525E-2</v>
      </c>
      <c r="J4" s="301">
        <v>1</v>
      </c>
      <c r="K4" s="131"/>
    </row>
    <row r="5" spans="2:12" s="70" customFormat="1" ht="33.75" customHeight="1">
      <c r="B5" s="123"/>
      <c r="C5" s="121"/>
      <c r="D5" s="168" t="s">
        <v>17</v>
      </c>
      <c r="E5" s="306"/>
      <c r="F5" s="306"/>
      <c r="G5" s="283"/>
      <c r="H5" s="283"/>
      <c r="I5" s="300"/>
      <c r="J5" s="302"/>
      <c r="K5" s="132"/>
    </row>
    <row r="6" spans="2:12" ht="33.75" customHeight="1">
      <c r="B6" s="123"/>
      <c r="C6" s="153" t="s">
        <v>216</v>
      </c>
      <c r="D6" s="167" t="s">
        <v>14</v>
      </c>
      <c r="E6" s="303">
        <v>6000</v>
      </c>
      <c r="F6" s="136">
        <v>25</v>
      </c>
      <c r="G6" s="283">
        <v>0.47222222222222221</v>
      </c>
      <c r="H6" s="283">
        <v>0.53472222222222221</v>
      </c>
      <c r="I6" s="300">
        <f>H6-G6</f>
        <v>6.25E-2</v>
      </c>
      <c r="J6" s="160" t="s">
        <v>211</v>
      </c>
      <c r="K6" s="133"/>
    </row>
    <row r="7" spans="2:12" ht="33.75" customHeight="1">
      <c r="B7" s="123"/>
      <c r="C7" s="125"/>
      <c r="D7" s="167" t="s">
        <v>17</v>
      </c>
      <c r="E7" s="303"/>
      <c r="F7" s="136">
        <v>26</v>
      </c>
      <c r="G7" s="283"/>
      <c r="H7" s="283"/>
      <c r="I7" s="300"/>
      <c r="J7" s="160" t="s">
        <v>217</v>
      </c>
      <c r="K7" s="133"/>
    </row>
    <row r="8" spans="2:12" ht="33.75" customHeight="1">
      <c r="B8" s="123"/>
      <c r="C8" s="125"/>
      <c r="D8" s="167" t="s">
        <v>18</v>
      </c>
      <c r="E8" s="303"/>
      <c r="F8" s="136">
        <v>21</v>
      </c>
      <c r="G8" s="283">
        <v>0.59027777777777779</v>
      </c>
      <c r="H8" s="283">
        <v>0.65625</v>
      </c>
      <c r="I8" s="300">
        <f>H8-G8</f>
        <v>6.597222222222221E-2</v>
      </c>
      <c r="J8" s="160" t="s">
        <v>211</v>
      </c>
      <c r="K8" s="132"/>
    </row>
    <row r="9" spans="2:12" ht="33.75" customHeight="1">
      <c r="B9" s="120"/>
      <c r="C9" s="121"/>
      <c r="D9" s="167" t="s">
        <v>19</v>
      </c>
      <c r="E9" s="303"/>
      <c r="F9" s="136">
        <v>28</v>
      </c>
      <c r="G9" s="283"/>
      <c r="H9" s="283"/>
      <c r="I9" s="300"/>
      <c r="J9" s="161">
        <v>1</v>
      </c>
      <c r="K9" s="145"/>
    </row>
    <row r="10" spans="2:12" ht="33.75" customHeight="1">
      <c r="B10" s="120"/>
      <c r="C10" s="142"/>
      <c r="D10" s="169" t="s">
        <v>20</v>
      </c>
      <c r="E10" s="303">
        <v>6750</v>
      </c>
      <c r="F10" s="136">
        <v>21</v>
      </c>
      <c r="G10" s="304">
        <v>0.66666666666666663</v>
      </c>
      <c r="H10" s="304">
        <v>0.80555555555555558</v>
      </c>
      <c r="I10" s="300">
        <f>H10-G10</f>
        <v>0.13888888888888895</v>
      </c>
      <c r="J10" s="161" t="s">
        <v>211</v>
      </c>
      <c r="K10" s="241" t="s">
        <v>218</v>
      </c>
    </row>
    <row r="11" spans="2:12" ht="33.75" customHeight="1">
      <c r="B11" s="120"/>
      <c r="C11" s="142"/>
      <c r="D11" s="170" t="s">
        <v>21</v>
      </c>
      <c r="E11" s="303"/>
      <c r="F11" s="136">
        <v>28</v>
      </c>
      <c r="G11" s="304"/>
      <c r="H11" s="304"/>
      <c r="I11" s="300"/>
      <c r="J11" s="161">
        <v>1</v>
      </c>
      <c r="K11" s="214"/>
    </row>
    <row r="12" spans="2:12" ht="33.75" customHeight="1">
      <c r="B12" s="156"/>
      <c r="C12" s="157"/>
      <c r="D12" s="171" t="s">
        <v>22</v>
      </c>
      <c r="E12" s="303"/>
      <c r="F12" s="136">
        <v>21</v>
      </c>
      <c r="G12" s="304"/>
      <c r="H12" s="304"/>
      <c r="I12" s="300"/>
      <c r="J12" s="161" t="s">
        <v>211</v>
      </c>
      <c r="K12" s="214"/>
    </row>
    <row r="13" spans="2:12" s="42" customFormat="1" ht="33.75" customHeight="1">
      <c r="B13" s="154"/>
      <c r="C13" s="155"/>
      <c r="D13" s="170" t="s">
        <v>72</v>
      </c>
      <c r="E13" s="303"/>
      <c r="F13" s="136">
        <v>28</v>
      </c>
      <c r="G13" s="304"/>
      <c r="H13" s="304"/>
      <c r="I13" s="300"/>
      <c r="J13" s="160">
        <v>1</v>
      </c>
      <c r="K13" s="299"/>
      <c r="L13" s="3"/>
    </row>
    <row r="14" spans="2:12" ht="33.75" customHeight="1">
      <c r="B14" s="158"/>
      <c r="C14" s="159" t="s">
        <v>219</v>
      </c>
      <c r="D14" s="162" t="s">
        <v>14</v>
      </c>
      <c r="E14" s="166">
        <v>1500</v>
      </c>
      <c r="F14" s="163" t="s">
        <v>156</v>
      </c>
      <c r="G14" s="172">
        <v>0.89583333333333337</v>
      </c>
      <c r="H14" s="172">
        <v>0.92361111111111116</v>
      </c>
      <c r="I14" s="173">
        <f>H14-G14</f>
        <v>2.777777777777779E-2</v>
      </c>
      <c r="J14" s="164">
        <v>1</v>
      </c>
      <c r="K14" s="166" t="s">
        <v>220</v>
      </c>
    </row>
    <row r="15" spans="2:12" ht="33.75" customHeight="1">
      <c r="B15" s="56"/>
      <c r="C15" s="28" t="s">
        <v>36</v>
      </c>
      <c r="D15" s="29"/>
      <c r="E15" s="97">
        <f>SUM(E4:E14)</f>
        <v>17250</v>
      </c>
      <c r="F15" s="103"/>
      <c r="G15" s="103"/>
      <c r="H15" s="106"/>
      <c r="I15" s="65"/>
      <c r="J15" s="64"/>
      <c r="K15" s="103"/>
    </row>
    <row r="16" spans="2:12" ht="24" customHeight="1">
      <c r="B16" s="32"/>
      <c r="H16" s="107"/>
      <c r="I16" s="31"/>
    </row>
    <row r="17" spans="8:10" ht="20.25" customHeight="1">
      <c r="H17" s="107"/>
      <c r="I17" s="31"/>
    </row>
    <row r="18" spans="8:10" ht="20.25" customHeight="1">
      <c r="H18" s="107"/>
      <c r="I18" s="31"/>
    </row>
    <row r="19" spans="8:10" ht="20.25" customHeight="1"/>
    <row r="20" spans="8:10" ht="20.25" customHeight="1"/>
    <row r="21" spans="8:10" ht="20.25" customHeight="1">
      <c r="J21" s="3" t="s">
        <v>37</v>
      </c>
    </row>
    <row r="22" spans="8:10" ht="20.25" customHeight="1"/>
    <row r="23" spans="8:10" ht="20.25" customHeight="1"/>
    <row r="24" spans="8:10" ht="21" customHeight="1"/>
    <row r="25" spans="8:10" ht="21" customHeight="1"/>
    <row r="26" spans="8:10" ht="18" customHeight="1"/>
    <row r="27" spans="8:10" ht="18" customHeight="1">
      <c r="H27" s="108"/>
      <c r="I27" s="33"/>
    </row>
    <row r="28" spans="8:10" ht="18" customHeight="1"/>
    <row r="29" spans="8:10" ht="18" customHeight="1"/>
    <row r="30" spans="8:10" ht="18" customHeight="1"/>
    <row r="31" spans="8:10" ht="18" customHeight="1"/>
    <row r="32" spans="8:10" ht="18" customHeight="1"/>
    <row r="33" spans="2:11" ht="18" customHeight="1"/>
    <row r="34" spans="2:11" ht="18" customHeight="1"/>
    <row r="40" spans="2:11" s="34" customFormat="1" ht="27.6" customHeight="1">
      <c r="B40" s="3"/>
      <c r="C40" s="3"/>
      <c r="D40" s="3"/>
      <c r="E40" s="98"/>
      <c r="F40" s="98"/>
      <c r="G40" s="98"/>
      <c r="H40" s="98"/>
      <c r="I40" s="3"/>
      <c r="J40" s="3"/>
      <c r="K40" s="98"/>
    </row>
  </sheetData>
  <mergeCells count="27">
    <mergeCell ref="B2:B3"/>
    <mergeCell ref="C2:C3"/>
    <mergeCell ref="D2:D3"/>
    <mergeCell ref="E2:E3"/>
    <mergeCell ref="F2:F3"/>
    <mergeCell ref="I2:I3"/>
    <mergeCell ref="J2:J3"/>
    <mergeCell ref="K2:K3"/>
    <mergeCell ref="E4:E5"/>
    <mergeCell ref="G4:G5"/>
    <mergeCell ref="H4:H5"/>
    <mergeCell ref="I4:I5"/>
    <mergeCell ref="G2:H2"/>
    <mergeCell ref="F4:F5"/>
    <mergeCell ref="K10:K13"/>
    <mergeCell ref="I8:I9"/>
    <mergeCell ref="J4:J5"/>
    <mergeCell ref="E10:E13"/>
    <mergeCell ref="G10:G13"/>
    <mergeCell ref="H10:H13"/>
    <mergeCell ref="I10:I13"/>
    <mergeCell ref="I6:I7"/>
    <mergeCell ref="G6:G7"/>
    <mergeCell ref="H6:H7"/>
    <mergeCell ref="E6:E9"/>
    <mergeCell ref="G8:G9"/>
    <mergeCell ref="H8:H9"/>
  </mergeCells>
  <pageMargins left="0.25" right="0.25" top="0.28999999999999998" bottom="0.26" header="0.23" footer="0.18"/>
  <pageSetup paperSize="9" scale="53" fitToWidth="0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301E-80AA-4E83-9758-432B4B6FF5D3}">
  <dimension ref="B2:K44"/>
  <sheetViews>
    <sheetView topLeftCell="A9" zoomScale="80" zoomScaleNormal="80" workbookViewId="0">
      <selection activeCell="F11" sqref="F11:F12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0.85546875" style="3" customWidth="1"/>
    <col min="4" max="4" width="9.42578125" style="3" customWidth="1"/>
    <col min="5" max="5" width="14.42578125" style="98" customWidth="1"/>
    <col min="6" max="6" width="14.28515625" style="98" customWidth="1"/>
    <col min="7" max="8" width="11.7109375" style="98" customWidth="1"/>
    <col min="9" max="9" width="11.7109375" style="3" customWidth="1"/>
    <col min="10" max="10" width="16.7109375" style="3" customWidth="1"/>
    <col min="11" max="11" width="45.7109375" style="98" customWidth="1"/>
    <col min="12" max="12" width="20" style="3" customWidth="1"/>
    <col min="13" max="16384" width="8.7109375" style="3"/>
  </cols>
  <sheetData>
    <row r="2" spans="2:11" s="2" customFormat="1" ht="28.5" customHeight="1">
      <c r="B2" s="222" t="s">
        <v>0</v>
      </c>
      <c r="C2" s="223" t="s">
        <v>1</v>
      </c>
      <c r="D2" s="223" t="s">
        <v>221</v>
      </c>
      <c r="E2" s="224" t="s">
        <v>3</v>
      </c>
      <c r="F2" s="224" t="s">
        <v>5</v>
      </c>
      <c r="G2" s="240" t="s">
        <v>6</v>
      </c>
      <c r="H2" s="240"/>
      <c r="I2" s="226" t="s">
        <v>7</v>
      </c>
      <c r="J2" s="223" t="s">
        <v>208</v>
      </c>
      <c r="K2" s="228" t="s">
        <v>10</v>
      </c>
    </row>
    <row r="3" spans="2:11" ht="21" customHeight="1">
      <c r="B3" s="222"/>
      <c r="C3" s="223"/>
      <c r="D3" s="223"/>
      <c r="E3" s="224"/>
      <c r="F3" s="225"/>
      <c r="G3" s="119" t="s">
        <v>11</v>
      </c>
      <c r="H3" s="119" t="s">
        <v>12</v>
      </c>
      <c r="I3" s="226"/>
      <c r="J3" s="227"/>
      <c r="K3" s="228"/>
    </row>
    <row r="4" spans="2:11" s="129" customFormat="1" ht="33.75" customHeight="1">
      <c r="B4" s="126" t="s">
        <v>222</v>
      </c>
      <c r="C4" s="127" t="s">
        <v>223</v>
      </c>
      <c r="D4" s="128" t="s">
        <v>14</v>
      </c>
      <c r="E4" s="229">
        <v>6000</v>
      </c>
      <c r="F4" s="136">
        <v>34</v>
      </c>
      <c r="G4" s="232">
        <v>0.3923611111111111</v>
      </c>
      <c r="H4" s="235">
        <v>0.51388888888888884</v>
      </c>
      <c r="I4" s="237">
        <v>0.10416666666666667</v>
      </c>
      <c r="J4" s="130">
        <v>1</v>
      </c>
      <c r="K4" s="131"/>
    </row>
    <row r="5" spans="2:11" s="70" customFormat="1" ht="33.75" customHeight="1">
      <c r="B5" s="123"/>
      <c r="C5" s="121"/>
      <c r="D5" s="122" t="s">
        <v>17</v>
      </c>
      <c r="E5" s="230"/>
      <c r="F5" s="136">
        <v>26</v>
      </c>
      <c r="G5" s="233"/>
      <c r="H5" s="236"/>
      <c r="I5" s="238"/>
      <c r="J5" s="130">
        <v>1</v>
      </c>
      <c r="K5" s="132"/>
    </row>
    <row r="6" spans="2:11" s="70" customFormat="1" ht="33.75" customHeight="1">
      <c r="B6" s="120"/>
      <c r="C6" s="121"/>
      <c r="D6" s="122" t="s">
        <v>18</v>
      </c>
      <c r="E6" s="230"/>
      <c r="F6" s="136">
        <v>34</v>
      </c>
      <c r="G6" s="233"/>
      <c r="H6" s="236"/>
      <c r="I6" s="238"/>
      <c r="J6" s="130" t="s">
        <v>211</v>
      </c>
      <c r="K6" s="133"/>
    </row>
    <row r="7" spans="2:11" ht="33.75" customHeight="1">
      <c r="B7" s="123"/>
      <c r="C7" s="123"/>
      <c r="D7" s="124" t="s">
        <v>19</v>
      </c>
      <c r="E7" s="231"/>
      <c r="F7" s="136">
        <v>26</v>
      </c>
      <c r="G7" s="234"/>
      <c r="H7" s="236"/>
      <c r="I7" s="239"/>
      <c r="J7" s="130" t="s">
        <v>211</v>
      </c>
      <c r="K7" s="134"/>
    </row>
    <row r="8" spans="2:11" ht="33.75" customHeight="1">
      <c r="B8" s="123"/>
      <c r="C8" s="125"/>
      <c r="D8" s="128" t="s">
        <v>20</v>
      </c>
      <c r="E8" s="150">
        <v>1500</v>
      </c>
      <c r="F8" s="138">
        <v>60</v>
      </c>
      <c r="G8" s="151">
        <v>0.51388888888888884</v>
      </c>
      <c r="H8" s="152">
        <v>0.53472222222222221</v>
      </c>
      <c r="I8" s="181">
        <f>H8-G8</f>
        <v>2.083333333333337E-2</v>
      </c>
      <c r="J8" s="139" t="s">
        <v>224</v>
      </c>
      <c r="K8" s="133"/>
    </row>
    <row r="9" spans="2:11" ht="33.75" customHeight="1">
      <c r="B9" s="156"/>
      <c r="C9" s="178" t="s">
        <v>225</v>
      </c>
      <c r="D9" s="148" t="s">
        <v>17</v>
      </c>
      <c r="E9" s="241">
        <v>6000</v>
      </c>
      <c r="F9" s="177" t="s">
        <v>226</v>
      </c>
      <c r="G9" s="216">
        <v>0.59027777777777779</v>
      </c>
      <c r="H9" s="216">
        <v>0.68402777777777779</v>
      </c>
      <c r="I9" s="218">
        <f>SUM(H9-G9)</f>
        <v>9.375E-2</v>
      </c>
      <c r="J9" s="155">
        <v>1</v>
      </c>
      <c r="K9" s="166" t="s">
        <v>227</v>
      </c>
    </row>
    <row r="10" spans="2:11" ht="33.75" customHeight="1">
      <c r="B10" s="154"/>
      <c r="C10" s="174"/>
      <c r="D10" s="148" t="s">
        <v>18</v>
      </c>
      <c r="E10" s="214"/>
      <c r="F10" s="177" t="s">
        <v>228</v>
      </c>
      <c r="G10" s="220"/>
      <c r="H10" s="220"/>
      <c r="I10" s="221"/>
      <c r="J10" s="155" t="s">
        <v>211</v>
      </c>
      <c r="K10" s="179"/>
    </row>
    <row r="11" spans="2:11" ht="33.75" customHeight="1">
      <c r="B11" s="154"/>
      <c r="C11" s="174"/>
      <c r="D11" s="148" t="s">
        <v>19</v>
      </c>
      <c r="E11" s="214"/>
      <c r="F11" s="176" t="s">
        <v>226</v>
      </c>
      <c r="G11" s="217"/>
      <c r="H11" s="217"/>
      <c r="I11" s="219"/>
      <c r="J11" s="155">
        <v>1</v>
      </c>
      <c r="K11" s="180"/>
    </row>
    <row r="12" spans="2:11" ht="33.75" customHeight="1">
      <c r="B12" s="154"/>
      <c r="C12" s="174"/>
      <c r="D12" s="148" t="s">
        <v>20</v>
      </c>
      <c r="E12" s="213"/>
      <c r="F12" s="176" t="s">
        <v>228</v>
      </c>
      <c r="G12" s="172">
        <v>0.68402777777777779</v>
      </c>
      <c r="H12" s="172">
        <v>0.70833333333333337</v>
      </c>
      <c r="I12" s="182">
        <f>SUM(H12-G12)</f>
        <v>2.430555555555558E-2</v>
      </c>
      <c r="J12" s="155" t="s">
        <v>211</v>
      </c>
      <c r="K12" s="180"/>
    </row>
    <row r="13" spans="2:11" ht="33.75" customHeight="1">
      <c r="B13" s="183"/>
      <c r="C13" s="178" t="s">
        <v>229</v>
      </c>
      <c r="D13" s="140" t="s">
        <v>14</v>
      </c>
      <c r="E13" s="212">
        <v>3000</v>
      </c>
      <c r="F13" s="176" t="s">
        <v>226</v>
      </c>
      <c r="G13" s="216">
        <v>0.70833333333333337</v>
      </c>
      <c r="H13" s="216">
        <v>0.73958333333333337</v>
      </c>
      <c r="I13" s="218">
        <f>SUM(H13-G13)</f>
        <v>3.125E-2</v>
      </c>
      <c r="J13" s="155">
        <v>1</v>
      </c>
      <c r="K13" s="180"/>
    </row>
    <row r="14" spans="2:11" ht="33.75" customHeight="1">
      <c r="B14" s="154"/>
      <c r="C14" s="178"/>
      <c r="D14" s="140" t="s">
        <v>17</v>
      </c>
      <c r="E14" s="213"/>
      <c r="F14" s="176" t="s">
        <v>228</v>
      </c>
      <c r="G14" s="217"/>
      <c r="H14" s="217"/>
      <c r="I14" s="219"/>
      <c r="J14" s="155" t="s">
        <v>211</v>
      </c>
      <c r="K14" s="180"/>
    </row>
    <row r="15" spans="2:11" ht="33.75" customHeight="1">
      <c r="B15" s="154"/>
      <c r="C15" s="178" t="s">
        <v>230</v>
      </c>
      <c r="D15" s="140" t="s">
        <v>14</v>
      </c>
      <c r="E15" s="212">
        <v>6000</v>
      </c>
      <c r="F15" s="176" t="s">
        <v>231</v>
      </c>
      <c r="G15" s="216">
        <v>0.73958333333333337</v>
      </c>
      <c r="H15" s="216">
        <v>0.85069444444444442</v>
      </c>
      <c r="I15" s="218">
        <f>SUM(H15-G15)</f>
        <v>0.11111111111111105</v>
      </c>
      <c r="J15" s="155">
        <v>1</v>
      </c>
      <c r="K15" s="184" t="s">
        <v>232</v>
      </c>
    </row>
    <row r="16" spans="2:11" ht="33.75" customHeight="1">
      <c r="B16" s="154"/>
      <c r="C16" s="174"/>
      <c r="D16" s="140" t="s">
        <v>17</v>
      </c>
      <c r="E16" s="214"/>
      <c r="F16" s="176" t="s">
        <v>233</v>
      </c>
      <c r="G16" s="220"/>
      <c r="H16" s="220"/>
      <c r="I16" s="221"/>
      <c r="J16" s="155" t="s">
        <v>211</v>
      </c>
      <c r="K16" s="184" t="s">
        <v>75</v>
      </c>
    </row>
    <row r="17" spans="2:11" ht="33.75" customHeight="1">
      <c r="B17" s="154"/>
      <c r="C17" s="174"/>
      <c r="D17" s="175" t="s">
        <v>18</v>
      </c>
      <c r="E17" s="214"/>
      <c r="F17" s="176" t="s">
        <v>226</v>
      </c>
      <c r="G17" s="220"/>
      <c r="H17" s="220"/>
      <c r="I17" s="221"/>
      <c r="J17" s="155">
        <v>1</v>
      </c>
      <c r="K17" s="180"/>
    </row>
    <row r="18" spans="2:11" ht="33.75" customHeight="1">
      <c r="B18" s="154"/>
      <c r="C18" s="174"/>
      <c r="D18" s="140" t="s">
        <v>19</v>
      </c>
      <c r="E18" s="215"/>
      <c r="F18" s="176" t="s">
        <v>228</v>
      </c>
      <c r="G18" s="217"/>
      <c r="H18" s="217"/>
      <c r="I18" s="219"/>
      <c r="J18" s="155" t="s">
        <v>211</v>
      </c>
      <c r="K18" s="180"/>
    </row>
    <row r="19" spans="2:11" ht="33.75" customHeight="1">
      <c r="B19" s="56"/>
      <c r="C19" s="28" t="s">
        <v>36</v>
      </c>
      <c r="D19" s="186"/>
      <c r="E19" s="185">
        <f>SUM(E4:E18)</f>
        <v>22500</v>
      </c>
      <c r="F19" s="187"/>
      <c r="G19" s="103"/>
      <c r="H19" s="106"/>
      <c r="I19" s="65"/>
      <c r="J19" s="64"/>
      <c r="K19" s="103"/>
    </row>
    <row r="20" spans="2:11" ht="24" customHeight="1">
      <c r="B20" s="32"/>
      <c r="H20" s="107"/>
      <c r="I20" s="31"/>
    </row>
    <row r="21" spans="2:11" ht="20.25" customHeight="1">
      <c r="H21" s="107"/>
      <c r="I21" s="31"/>
    </row>
    <row r="22" spans="2:11" ht="20.25" customHeight="1">
      <c r="H22" s="107"/>
      <c r="I22" s="31"/>
    </row>
    <row r="23" spans="2:11" ht="20.25" customHeight="1"/>
    <row r="24" spans="2:11" ht="20.25" customHeight="1"/>
    <row r="25" spans="2:11" ht="20.25" customHeight="1">
      <c r="J25" s="3" t="s">
        <v>37</v>
      </c>
    </row>
    <row r="26" spans="2:11" ht="20.25" customHeight="1"/>
    <row r="27" spans="2:11" ht="20.25" customHeight="1"/>
    <row r="28" spans="2:11" ht="21" customHeight="1"/>
    <row r="29" spans="2:11" ht="21" customHeight="1"/>
    <row r="30" spans="2:11" ht="18" customHeight="1"/>
    <row r="31" spans="2:11" ht="18" customHeight="1">
      <c r="H31" s="108"/>
      <c r="I31" s="33"/>
    </row>
    <row r="32" spans="2:11" ht="18" customHeight="1"/>
    <row r="33" spans="2:11" ht="18" customHeight="1"/>
    <row r="34" spans="2:11" ht="18" customHeight="1"/>
    <row r="35" spans="2:11" ht="18" customHeight="1"/>
    <row r="36" spans="2:11" ht="18" customHeight="1"/>
    <row r="37" spans="2:11" ht="18" customHeight="1"/>
    <row r="38" spans="2:11" ht="18" customHeight="1"/>
    <row r="44" spans="2:11" s="34" customFormat="1" ht="27.6" customHeight="1">
      <c r="B44" s="3"/>
      <c r="C44" s="3"/>
      <c r="D44" s="3"/>
      <c r="E44" s="98"/>
      <c r="F44" s="98"/>
      <c r="G44" s="98"/>
      <c r="H44" s="98"/>
      <c r="I44" s="3"/>
      <c r="J44" s="3"/>
      <c r="K44" s="98"/>
    </row>
  </sheetData>
  <mergeCells count="25">
    <mergeCell ref="I9:I11"/>
    <mergeCell ref="I2:I3"/>
    <mergeCell ref="J2:J3"/>
    <mergeCell ref="K2:K3"/>
    <mergeCell ref="E4:E7"/>
    <mergeCell ref="G4:G7"/>
    <mergeCell ref="H4:H7"/>
    <mergeCell ref="I4:I7"/>
    <mergeCell ref="G2:H2"/>
    <mergeCell ref="E9:E12"/>
    <mergeCell ref="G9:G11"/>
    <mergeCell ref="H9:H11"/>
    <mergeCell ref="B2:B3"/>
    <mergeCell ref="C2:C3"/>
    <mergeCell ref="D2:D3"/>
    <mergeCell ref="E2:E3"/>
    <mergeCell ref="F2:F3"/>
    <mergeCell ref="E13:E14"/>
    <mergeCell ref="E15:E18"/>
    <mergeCell ref="G13:G14"/>
    <mergeCell ref="H13:H14"/>
    <mergeCell ref="I13:I14"/>
    <mergeCell ref="G15:G18"/>
    <mergeCell ref="H15:H18"/>
    <mergeCell ref="I15:I18"/>
  </mergeCells>
  <pageMargins left="0.25" right="0.25" top="0.28999999999999998" bottom="0.26" header="0.23" footer="0.18"/>
  <pageSetup paperSize="9" scale="53" fitToWidth="0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B425-14E6-4D09-BFDC-E6114D325D91}">
  <dimension ref="B2:M62"/>
  <sheetViews>
    <sheetView topLeftCell="A20" zoomScale="80" zoomScaleNormal="80" workbookViewId="0">
      <selection activeCell="J15" sqref="J15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5.5703125" style="3" customWidth="1"/>
    <col min="4" max="4" width="9.42578125" style="3" customWidth="1"/>
    <col min="5" max="5" width="14.42578125" style="3" customWidth="1"/>
    <col min="6" max="7" width="14.28515625" style="3" customWidth="1"/>
    <col min="8" max="9" width="11.7109375" style="3" customWidth="1"/>
    <col min="10" max="10" width="15" style="3" customWidth="1"/>
    <col min="11" max="11" width="17" style="3" customWidth="1"/>
    <col min="12" max="12" width="18.7109375" style="3" bestFit="1" customWidth="1"/>
    <col min="13" max="13" width="58.42578125" style="3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44" t="s">
        <v>2</v>
      </c>
      <c r="E2" s="244" t="s">
        <v>3</v>
      </c>
      <c r="F2" s="244" t="s">
        <v>4</v>
      </c>
      <c r="G2" s="244" t="s">
        <v>5</v>
      </c>
      <c r="H2" s="242" t="s">
        <v>6</v>
      </c>
      <c r="I2" s="242"/>
      <c r="J2" s="243" t="s">
        <v>7</v>
      </c>
      <c r="K2" s="244" t="s">
        <v>8</v>
      </c>
      <c r="L2" s="245" t="s">
        <v>9</v>
      </c>
      <c r="M2" s="245" t="s">
        <v>10</v>
      </c>
    </row>
    <row r="3" spans="2:13" ht="21" customHeight="1">
      <c r="B3" s="246"/>
      <c r="C3" s="247"/>
      <c r="D3" s="244"/>
      <c r="E3" s="244"/>
      <c r="F3" s="244"/>
      <c r="G3" s="244"/>
      <c r="H3" s="1" t="s">
        <v>11</v>
      </c>
      <c r="I3" s="1" t="s">
        <v>12</v>
      </c>
      <c r="J3" s="243"/>
      <c r="K3" s="244"/>
      <c r="L3" s="245"/>
      <c r="M3" s="245"/>
    </row>
    <row r="4" spans="2:13" ht="21" customHeight="1">
      <c r="B4" s="17" t="s">
        <v>234</v>
      </c>
      <c r="C4" s="18" t="s">
        <v>235</v>
      </c>
      <c r="D4" s="24" t="s">
        <v>14</v>
      </c>
      <c r="E4" s="7">
        <v>1500</v>
      </c>
      <c r="F4" s="7">
        <v>1512</v>
      </c>
      <c r="G4" s="7">
        <v>41</v>
      </c>
      <c r="H4" s="8">
        <v>0.42708333333333331</v>
      </c>
      <c r="I4" s="8">
        <v>0.45833333333333331</v>
      </c>
      <c r="J4" s="9">
        <f>I4-H4</f>
        <v>3.125E-2</v>
      </c>
      <c r="K4" s="10">
        <f>IFERROR((J4*24*60)/F4,"")</f>
        <v>2.976190476190476E-2</v>
      </c>
      <c r="L4" s="25"/>
      <c r="M4" s="4" t="s">
        <v>15</v>
      </c>
    </row>
    <row r="5" spans="2:13" ht="21" customHeight="1">
      <c r="B5" s="22"/>
      <c r="C5" s="4"/>
      <c r="D5" s="24" t="s">
        <v>17</v>
      </c>
      <c r="E5" s="7">
        <v>1500</v>
      </c>
      <c r="F5" s="7">
        <v>1485</v>
      </c>
      <c r="G5" s="7">
        <v>41</v>
      </c>
      <c r="H5" s="8">
        <v>0.45833333333333331</v>
      </c>
      <c r="I5" s="8">
        <v>0.4826388888888889</v>
      </c>
      <c r="J5" s="9">
        <f>I5-H5</f>
        <v>2.430555555555558E-2</v>
      </c>
      <c r="K5" s="10">
        <f t="shared" ref="K5:K19" si="0">IFERROR((J5*24*60)/F5,"")</f>
        <v>2.3569023569023594E-2</v>
      </c>
      <c r="L5" s="12"/>
      <c r="M5" s="4"/>
    </row>
    <row r="6" spans="2:13" ht="21" customHeight="1">
      <c r="B6" s="4"/>
      <c r="C6" s="4"/>
      <c r="D6" s="24" t="s">
        <v>18</v>
      </c>
      <c r="E6" s="7">
        <v>1500</v>
      </c>
      <c r="F6" s="7">
        <v>1512</v>
      </c>
      <c r="G6" s="7">
        <v>41</v>
      </c>
      <c r="H6" s="8">
        <v>0.4826388888888889</v>
      </c>
      <c r="I6" s="8">
        <v>0.51388888888888884</v>
      </c>
      <c r="J6" s="9">
        <f>I6-H6</f>
        <v>3.1249999999999944E-2</v>
      </c>
      <c r="K6" s="10">
        <f t="shared" si="0"/>
        <v>2.9761904761904712E-2</v>
      </c>
      <c r="L6" s="4"/>
      <c r="M6" s="4"/>
    </row>
    <row r="7" spans="2:13" ht="21" customHeight="1">
      <c r="B7" s="4"/>
      <c r="C7" s="4"/>
      <c r="D7" s="74" t="s">
        <v>19</v>
      </c>
      <c r="E7" s="75">
        <v>1500</v>
      </c>
      <c r="F7" s="75">
        <v>1539</v>
      </c>
      <c r="G7" s="75">
        <v>20</v>
      </c>
      <c r="H7" s="76">
        <v>0.43055555555555558</v>
      </c>
      <c r="I7" s="76">
        <v>0.52083333333333337</v>
      </c>
      <c r="J7" s="77">
        <f t="shared" ref="J7:J19" si="1">I7-H7</f>
        <v>9.027777777777779E-2</v>
      </c>
      <c r="K7" s="78">
        <f>IFERROR((J7*24*60)/F7,"")</f>
        <v>8.4470435347628353E-2</v>
      </c>
      <c r="L7" s="80"/>
      <c r="M7" s="79" t="s">
        <v>236</v>
      </c>
    </row>
    <row r="8" spans="2:13" ht="21" customHeight="1">
      <c r="B8" s="4"/>
      <c r="C8" s="4"/>
      <c r="D8" s="24" t="s">
        <v>30</v>
      </c>
      <c r="E8" s="24" t="s">
        <v>30</v>
      </c>
      <c r="F8" s="24" t="s">
        <v>30</v>
      </c>
      <c r="G8" s="19" t="s">
        <v>23</v>
      </c>
      <c r="H8" s="8">
        <v>0.51388888888888884</v>
      </c>
      <c r="I8" s="8">
        <v>0.55555555555555558</v>
      </c>
      <c r="J8" s="9">
        <f t="shared" ref="J8" si="2">I8-H8</f>
        <v>4.1666666666666741E-2</v>
      </c>
      <c r="K8" s="10" t="str">
        <f t="shared" ref="K8:K11" si="3">IFERROR((J8*24*60)/F8,"")</f>
        <v/>
      </c>
      <c r="L8" s="21"/>
      <c r="M8" s="52" t="s">
        <v>51</v>
      </c>
    </row>
    <row r="9" spans="2:13" ht="21" customHeight="1">
      <c r="B9" s="4"/>
      <c r="C9" s="4"/>
      <c r="D9" s="74" t="s">
        <v>20</v>
      </c>
      <c r="E9" s="75">
        <v>1500</v>
      </c>
      <c r="F9" s="75">
        <v>1512</v>
      </c>
      <c r="G9" s="75">
        <v>21</v>
      </c>
      <c r="H9" s="76">
        <v>0.56944444444444442</v>
      </c>
      <c r="I9" s="76">
        <v>0.65625</v>
      </c>
      <c r="J9" s="77">
        <f t="shared" si="1"/>
        <v>8.680555555555558E-2</v>
      </c>
      <c r="K9" s="78">
        <f t="shared" si="3"/>
        <v>8.2671957671957688E-2</v>
      </c>
      <c r="L9" s="80"/>
      <c r="M9" s="188" t="s">
        <v>237</v>
      </c>
    </row>
    <row r="10" spans="2:13" ht="21" customHeight="1">
      <c r="B10" s="4"/>
      <c r="C10" s="4"/>
      <c r="D10" s="74" t="s">
        <v>21</v>
      </c>
      <c r="E10" s="75">
        <v>1500</v>
      </c>
      <c r="F10" s="75">
        <v>1593</v>
      </c>
      <c r="G10" s="75">
        <v>22</v>
      </c>
      <c r="H10" s="76">
        <v>0.65625</v>
      </c>
      <c r="I10" s="76">
        <v>0.73611111111111116</v>
      </c>
      <c r="J10" s="77">
        <f t="shared" si="1"/>
        <v>7.986111111111116E-2</v>
      </c>
      <c r="K10" s="78">
        <f t="shared" si="3"/>
        <v>7.2190834902699355E-2</v>
      </c>
      <c r="L10" s="80"/>
      <c r="M10" s="198" t="s">
        <v>238</v>
      </c>
    </row>
    <row r="11" spans="2:13" ht="21" customHeight="1">
      <c r="B11" s="4"/>
      <c r="C11" s="4"/>
      <c r="D11" s="74" t="s">
        <v>22</v>
      </c>
      <c r="E11" s="75">
        <v>1500</v>
      </c>
      <c r="F11" s="75">
        <v>1458</v>
      </c>
      <c r="G11" s="75">
        <v>26</v>
      </c>
      <c r="H11" s="76">
        <v>0.73611111111111116</v>
      </c>
      <c r="I11" s="76">
        <v>0.79166666666666663</v>
      </c>
      <c r="J11" s="77">
        <f t="shared" si="1"/>
        <v>5.5555555555555469E-2</v>
      </c>
      <c r="K11" s="78">
        <f t="shared" si="3"/>
        <v>5.4869684499314043E-2</v>
      </c>
      <c r="L11" s="80"/>
      <c r="M11" s="80" t="s">
        <v>239</v>
      </c>
    </row>
    <row r="12" spans="2:13" ht="21" customHeight="1">
      <c r="B12" s="4"/>
      <c r="C12" s="4"/>
      <c r="D12" s="24" t="s">
        <v>28</v>
      </c>
      <c r="E12" s="7"/>
      <c r="F12" s="7">
        <v>0</v>
      </c>
      <c r="G12" s="7"/>
      <c r="H12" s="8"/>
      <c r="I12" s="8"/>
      <c r="J12" s="9"/>
      <c r="K12" s="10"/>
      <c r="L12" s="4"/>
      <c r="M12" s="4"/>
    </row>
    <row r="13" spans="2:13" ht="21" customHeight="1">
      <c r="B13" s="4"/>
      <c r="C13" s="4"/>
      <c r="D13" s="24" t="s">
        <v>29</v>
      </c>
      <c r="E13" s="7"/>
      <c r="F13" s="7">
        <v>10</v>
      </c>
      <c r="G13" s="7"/>
      <c r="H13" s="8"/>
      <c r="I13" s="8"/>
      <c r="J13" s="9"/>
      <c r="K13" s="10"/>
      <c r="L13" s="4"/>
      <c r="M13" s="4"/>
    </row>
    <row r="14" spans="2:13" ht="21" customHeight="1">
      <c r="B14" s="4"/>
      <c r="C14" s="4" t="s">
        <v>240</v>
      </c>
      <c r="D14" s="74" t="s">
        <v>14</v>
      </c>
      <c r="E14" s="75">
        <v>1500</v>
      </c>
      <c r="F14" s="75">
        <v>1458</v>
      </c>
      <c r="G14" s="75">
        <v>26</v>
      </c>
      <c r="H14" s="76">
        <v>0.79166666666666663</v>
      </c>
      <c r="I14" s="76">
        <v>0.84375</v>
      </c>
      <c r="J14" s="77">
        <f t="shared" si="1"/>
        <v>5.208333333333337E-2</v>
      </c>
      <c r="K14" s="78">
        <f t="shared" si="0"/>
        <v>5.1440329218107032E-2</v>
      </c>
      <c r="L14" s="80"/>
      <c r="M14" s="80" t="s">
        <v>239</v>
      </c>
    </row>
    <row r="15" spans="2:13" ht="23.25" customHeight="1">
      <c r="B15" s="17"/>
      <c r="C15" s="26"/>
      <c r="D15" s="24" t="s">
        <v>28</v>
      </c>
      <c r="E15" s="7"/>
      <c r="F15" s="7">
        <v>8</v>
      </c>
      <c r="G15" s="19"/>
      <c r="H15" s="8"/>
      <c r="I15" s="8"/>
      <c r="J15" s="9"/>
      <c r="K15" s="10"/>
      <c r="L15" s="21"/>
      <c r="M15" s="55"/>
    </row>
    <row r="16" spans="2:13" ht="23.25" customHeight="1">
      <c r="B16" s="17"/>
      <c r="C16" s="26"/>
      <c r="D16" s="24" t="s">
        <v>29</v>
      </c>
      <c r="E16" s="7"/>
      <c r="F16" s="7">
        <v>5</v>
      </c>
      <c r="G16" s="19"/>
      <c r="H16" s="8"/>
      <c r="I16" s="8"/>
      <c r="J16" s="9"/>
      <c r="K16" s="10"/>
      <c r="L16" s="21"/>
      <c r="M16" s="55"/>
    </row>
    <row r="17" spans="2:13" ht="23.25" customHeight="1">
      <c r="B17" s="17"/>
      <c r="C17" s="55" t="s">
        <v>241</v>
      </c>
      <c r="D17" s="24" t="s">
        <v>14</v>
      </c>
      <c r="E17" s="7">
        <v>1500</v>
      </c>
      <c r="F17" s="7">
        <v>1520</v>
      </c>
      <c r="G17" s="19" t="s">
        <v>242</v>
      </c>
      <c r="H17" s="8">
        <v>0.56944444444444442</v>
      </c>
      <c r="I17" s="8">
        <v>0.59375</v>
      </c>
      <c r="J17" s="9">
        <f t="shared" si="1"/>
        <v>2.430555555555558E-2</v>
      </c>
      <c r="K17" s="10">
        <f t="shared" si="0"/>
        <v>2.3026315789473707E-2</v>
      </c>
      <c r="L17" s="21"/>
      <c r="M17" s="66"/>
    </row>
    <row r="18" spans="2:13" ht="23.25" customHeight="1">
      <c r="B18" s="17"/>
      <c r="C18" s="26"/>
      <c r="D18" s="24" t="s">
        <v>17</v>
      </c>
      <c r="E18" s="7">
        <v>1500</v>
      </c>
      <c r="F18" s="7">
        <v>1480</v>
      </c>
      <c r="G18" s="19" t="s">
        <v>243</v>
      </c>
      <c r="H18" s="8">
        <v>0.59375</v>
      </c>
      <c r="I18" s="8">
        <v>0.61805555555555558</v>
      </c>
      <c r="J18" s="9">
        <f t="shared" si="1"/>
        <v>2.430555555555558E-2</v>
      </c>
      <c r="K18" s="10">
        <f t="shared" si="0"/>
        <v>2.3648648648648674E-2</v>
      </c>
      <c r="L18" s="21"/>
      <c r="M18" s="67"/>
    </row>
    <row r="19" spans="2:13" ht="23.25" customHeight="1">
      <c r="B19" s="17"/>
      <c r="C19" s="26"/>
      <c r="D19" s="24" t="s">
        <v>18</v>
      </c>
      <c r="E19" s="7">
        <v>1500</v>
      </c>
      <c r="F19" s="7">
        <v>1520</v>
      </c>
      <c r="G19" s="19" t="s">
        <v>243</v>
      </c>
      <c r="H19" s="8">
        <v>0.61805555555555558</v>
      </c>
      <c r="I19" s="8">
        <v>0.64236111111111116</v>
      </c>
      <c r="J19" s="9">
        <f t="shared" si="1"/>
        <v>2.430555555555558E-2</v>
      </c>
      <c r="K19" s="10">
        <f t="shared" si="0"/>
        <v>2.3026315789473707E-2</v>
      </c>
      <c r="L19" s="21"/>
      <c r="M19" s="55"/>
    </row>
    <row r="20" spans="2:13" ht="23.25" customHeight="1">
      <c r="B20" s="17"/>
      <c r="C20" s="26"/>
      <c r="D20" s="24" t="s">
        <v>19</v>
      </c>
      <c r="E20" s="7">
        <v>1500</v>
      </c>
      <c r="F20" s="7">
        <v>1480</v>
      </c>
      <c r="G20" s="19" t="s">
        <v>243</v>
      </c>
      <c r="H20" s="8">
        <v>0.64236111111111116</v>
      </c>
      <c r="I20" s="8">
        <v>0.65972222222222221</v>
      </c>
      <c r="J20" s="9">
        <f t="shared" ref="J20:J22" si="4">I20-H20</f>
        <v>1.7361111111111049E-2</v>
      </c>
      <c r="K20" s="10">
        <f t="shared" ref="K20:K22" si="5">IFERROR((J20*24*60)/F20,"")</f>
        <v>1.689189189189183E-2</v>
      </c>
      <c r="L20" s="21"/>
      <c r="M20" s="55"/>
    </row>
    <row r="21" spans="2:13" ht="23.25" customHeight="1">
      <c r="B21" s="17"/>
      <c r="C21" s="26"/>
      <c r="D21" s="24" t="s">
        <v>20</v>
      </c>
      <c r="E21" s="7">
        <v>1500</v>
      </c>
      <c r="F21" s="7">
        <v>1520</v>
      </c>
      <c r="G21" s="19" t="s">
        <v>243</v>
      </c>
      <c r="H21" s="8">
        <v>0.65972222222222221</v>
      </c>
      <c r="I21" s="8">
        <v>0.68402777777777779</v>
      </c>
      <c r="J21" s="9">
        <f t="shared" si="4"/>
        <v>2.430555555555558E-2</v>
      </c>
      <c r="K21" s="10">
        <f t="shared" si="5"/>
        <v>2.3026315789473707E-2</v>
      </c>
      <c r="L21" s="21"/>
      <c r="M21" s="55"/>
    </row>
    <row r="22" spans="2:13" ht="23.25" customHeight="1">
      <c r="B22" s="17"/>
      <c r="C22" s="26"/>
      <c r="D22" s="24" t="s">
        <v>21</v>
      </c>
      <c r="E22" s="7">
        <v>1500</v>
      </c>
      <c r="F22" s="7">
        <v>1480</v>
      </c>
      <c r="G22" s="19" t="s">
        <v>243</v>
      </c>
      <c r="H22" s="8">
        <v>0.68402777777777779</v>
      </c>
      <c r="I22" s="8">
        <v>0.70833333333333337</v>
      </c>
      <c r="J22" s="9">
        <f t="shared" si="4"/>
        <v>2.430555555555558E-2</v>
      </c>
      <c r="K22" s="10">
        <f t="shared" si="5"/>
        <v>2.3648648648648674E-2</v>
      </c>
      <c r="L22" s="21"/>
      <c r="M22" s="55"/>
    </row>
    <row r="23" spans="2:13" ht="23.25" customHeight="1">
      <c r="B23" s="17"/>
      <c r="C23" s="26"/>
      <c r="D23" s="24" t="s">
        <v>28</v>
      </c>
      <c r="E23" s="7"/>
      <c r="F23" s="7">
        <v>0</v>
      </c>
      <c r="G23" s="19"/>
      <c r="H23" s="8"/>
      <c r="I23" s="8"/>
      <c r="J23" s="9"/>
      <c r="K23" s="10"/>
      <c r="L23" s="21"/>
      <c r="M23" s="55"/>
    </row>
    <row r="24" spans="2:13" ht="23.25" customHeight="1">
      <c r="B24" s="17"/>
      <c r="C24" s="26"/>
      <c r="D24" s="24" t="s">
        <v>29</v>
      </c>
      <c r="E24" s="7"/>
      <c r="F24" s="7">
        <v>8</v>
      </c>
      <c r="G24" s="19"/>
      <c r="H24" s="8"/>
      <c r="I24" s="8"/>
      <c r="J24" s="9"/>
      <c r="K24" s="10"/>
      <c r="L24" s="21"/>
      <c r="M24" s="55"/>
    </row>
    <row r="25" spans="2:13" ht="23.25" customHeight="1">
      <c r="B25" s="17"/>
      <c r="C25" s="26" t="s">
        <v>244</v>
      </c>
      <c r="D25" s="24" t="s">
        <v>14</v>
      </c>
      <c r="E25" s="7">
        <v>1500</v>
      </c>
      <c r="F25" s="7">
        <v>1520</v>
      </c>
      <c r="G25" s="19" t="s">
        <v>243</v>
      </c>
      <c r="H25" s="8">
        <v>0.70833333333333337</v>
      </c>
      <c r="I25" s="8">
        <v>0.72916666666666663</v>
      </c>
      <c r="J25" s="9">
        <f t="shared" ref="J25" si="6">I25-H25</f>
        <v>2.0833333333333259E-2</v>
      </c>
      <c r="K25" s="10">
        <f t="shared" ref="K25" si="7">IFERROR((J25*24*60)/F25,"")</f>
        <v>1.9736842105263087E-2</v>
      </c>
      <c r="L25" s="21"/>
      <c r="M25" s="55"/>
    </row>
    <row r="26" spans="2:13" ht="23.25" customHeight="1">
      <c r="B26" s="17"/>
      <c r="C26" s="26"/>
      <c r="D26" s="24" t="s">
        <v>17</v>
      </c>
      <c r="E26" s="7">
        <v>1500</v>
      </c>
      <c r="F26" s="7">
        <v>1520</v>
      </c>
      <c r="G26" s="19" t="s">
        <v>243</v>
      </c>
      <c r="H26" s="8">
        <v>0.72916666666666663</v>
      </c>
      <c r="I26" s="8">
        <v>0.76041666666666663</v>
      </c>
      <c r="J26" s="9">
        <f t="shared" ref="J26" si="8">I26-H26</f>
        <v>3.125E-2</v>
      </c>
      <c r="K26" s="10">
        <f t="shared" ref="K26" si="9">IFERROR((J26*24*60)/F26,"")</f>
        <v>2.9605263157894735E-2</v>
      </c>
      <c r="L26" s="21"/>
      <c r="M26" s="55"/>
    </row>
    <row r="27" spans="2:13" ht="23.25" customHeight="1">
      <c r="B27" s="17"/>
      <c r="C27" s="26"/>
      <c r="D27" s="24" t="s">
        <v>28</v>
      </c>
      <c r="E27" s="7"/>
      <c r="F27" s="7">
        <v>5</v>
      </c>
      <c r="G27" s="19"/>
      <c r="H27" s="8"/>
      <c r="I27" s="8"/>
      <c r="J27" s="9"/>
      <c r="K27" s="10"/>
      <c r="L27" s="21"/>
      <c r="M27" s="55"/>
    </row>
    <row r="28" spans="2:13" ht="23.25" customHeight="1">
      <c r="B28" s="17"/>
      <c r="C28" s="26"/>
      <c r="D28" s="24" t="s">
        <v>29</v>
      </c>
      <c r="E28" s="7"/>
      <c r="F28" s="7">
        <v>4</v>
      </c>
      <c r="G28" s="19"/>
      <c r="H28" s="8"/>
      <c r="I28" s="8"/>
      <c r="J28" s="9"/>
      <c r="K28" s="10"/>
      <c r="L28" s="21"/>
      <c r="M28" s="55"/>
    </row>
    <row r="29" spans="2:13" ht="23.25" customHeight="1">
      <c r="B29" s="4"/>
      <c r="C29" s="55"/>
      <c r="D29" s="24" t="s">
        <v>30</v>
      </c>
      <c r="E29" s="24" t="s">
        <v>30</v>
      </c>
      <c r="F29" s="24" t="s">
        <v>30</v>
      </c>
      <c r="G29" s="96">
        <v>37</v>
      </c>
      <c r="H29" s="81">
        <v>0.76041666666666663</v>
      </c>
      <c r="I29" s="81">
        <v>0.77083333333333337</v>
      </c>
      <c r="J29" s="85">
        <f>I29-H29</f>
        <v>1.0416666666666741E-2</v>
      </c>
      <c r="K29" s="101"/>
      <c r="L29" s="90"/>
      <c r="M29" s="110" t="s">
        <v>51</v>
      </c>
    </row>
    <row r="30" spans="2:13" ht="23.25" customHeight="1">
      <c r="B30" s="17"/>
      <c r="C30" s="189" t="s">
        <v>245</v>
      </c>
      <c r="D30" s="24" t="s">
        <v>20</v>
      </c>
      <c r="E30" s="7">
        <v>1500</v>
      </c>
      <c r="F30" s="7">
        <v>1512</v>
      </c>
      <c r="G30" s="19" t="s">
        <v>246</v>
      </c>
      <c r="H30" s="8">
        <v>0.77083333333333337</v>
      </c>
      <c r="I30" s="8">
        <v>0.79861111111111116</v>
      </c>
      <c r="J30" s="9">
        <f t="shared" ref="J30:J33" si="10">I30-H30</f>
        <v>2.777777777777779E-2</v>
      </c>
      <c r="K30" s="10">
        <f t="shared" ref="K30:K33" si="11">IFERROR((J30*24*60)/F30,"")</f>
        <v>2.6455026455026464E-2</v>
      </c>
      <c r="L30" s="21"/>
      <c r="M30" s="55" t="s">
        <v>75</v>
      </c>
    </row>
    <row r="31" spans="2:13" ht="23.25" customHeight="1">
      <c r="B31" s="17"/>
      <c r="C31" s="26"/>
      <c r="D31" s="24" t="s">
        <v>21</v>
      </c>
      <c r="E31" s="7">
        <v>1500</v>
      </c>
      <c r="F31" s="7">
        <v>1488</v>
      </c>
      <c r="G31" s="19" t="s">
        <v>246</v>
      </c>
      <c r="H31" s="8">
        <v>0.79861111111111116</v>
      </c>
      <c r="I31" s="8">
        <v>0.82638888888888884</v>
      </c>
      <c r="J31" s="9">
        <f t="shared" si="10"/>
        <v>2.7777777777777679E-2</v>
      </c>
      <c r="K31" s="10">
        <f t="shared" si="11"/>
        <v>2.688172043010743E-2</v>
      </c>
      <c r="L31" s="21"/>
      <c r="M31" s="55"/>
    </row>
    <row r="32" spans="2:13" ht="23.25" customHeight="1">
      <c r="B32" s="17"/>
      <c r="C32" s="26"/>
      <c r="D32" s="24" t="s">
        <v>22</v>
      </c>
      <c r="E32" s="7">
        <v>1500</v>
      </c>
      <c r="F32" s="7">
        <v>1512</v>
      </c>
      <c r="G32" s="19" t="s">
        <v>246</v>
      </c>
      <c r="H32" s="8">
        <v>0.82638888888888884</v>
      </c>
      <c r="I32" s="8">
        <v>0.84722222222222221</v>
      </c>
      <c r="J32" s="9">
        <f t="shared" si="10"/>
        <v>2.083333333333337E-2</v>
      </c>
      <c r="K32" s="10">
        <f t="shared" si="11"/>
        <v>1.9841269841269875E-2</v>
      </c>
      <c r="L32" s="21"/>
      <c r="M32" s="55"/>
    </row>
    <row r="33" spans="2:13" ht="23.25" customHeight="1">
      <c r="B33" s="17"/>
      <c r="C33" s="26"/>
      <c r="D33" s="24" t="s">
        <v>23</v>
      </c>
      <c r="E33" s="7">
        <v>1500</v>
      </c>
      <c r="F33" s="7">
        <v>1152</v>
      </c>
      <c r="G33" s="19" t="s">
        <v>40</v>
      </c>
      <c r="H33" s="8">
        <v>0.84722222222222221</v>
      </c>
      <c r="I33" s="8">
        <v>0.86805555555555558</v>
      </c>
      <c r="J33" s="9">
        <f t="shared" si="10"/>
        <v>2.083333333333337E-2</v>
      </c>
      <c r="K33" s="10">
        <f t="shared" si="11"/>
        <v>2.6041666666666713E-2</v>
      </c>
      <c r="L33" s="21"/>
      <c r="M33" s="55" t="s">
        <v>247</v>
      </c>
    </row>
    <row r="34" spans="2:13" ht="23.25" customHeight="1">
      <c r="B34" s="17"/>
      <c r="C34" s="26"/>
      <c r="D34" s="24" t="s">
        <v>28</v>
      </c>
      <c r="E34" s="7"/>
      <c r="F34" s="7">
        <v>7</v>
      </c>
      <c r="G34" s="19"/>
      <c r="H34" s="8"/>
      <c r="I34" s="8"/>
      <c r="J34" s="9"/>
      <c r="K34" s="20"/>
      <c r="L34" s="21"/>
      <c r="M34" s="55"/>
    </row>
    <row r="35" spans="2:13" ht="23.25" customHeight="1">
      <c r="B35" s="17"/>
      <c r="C35" s="26"/>
      <c r="D35" s="24" t="s">
        <v>29</v>
      </c>
      <c r="E35" s="7"/>
      <c r="F35" s="190">
        <v>4</v>
      </c>
      <c r="G35" s="191"/>
      <c r="H35" s="192"/>
      <c r="I35" s="192"/>
      <c r="J35" s="193"/>
      <c r="K35" s="194"/>
      <c r="L35" s="195"/>
      <c r="M35" s="196"/>
    </row>
    <row r="36" spans="2:13" ht="24" customHeight="1">
      <c r="B36" s="56"/>
      <c r="C36" s="28" t="s">
        <v>36</v>
      </c>
      <c r="D36" s="29"/>
      <c r="E36" s="30">
        <f>SUM(E4:E35)</f>
        <v>30000</v>
      </c>
      <c r="F36" s="46">
        <f>SUM(F4:F35)</f>
        <v>29824</v>
      </c>
      <c r="G36" s="64"/>
      <c r="H36" s="64"/>
      <c r="I36" s="65"/>
      <c r="J36" s="64"/>
      <c r="K36" s="64"/>
      <c r="L36" s="64"/>
      <c r="M36" s="55"/>
    </row>
    <row r="37" spans="2:13" ht="24" customHeight="1">
      <c r="C37" s="32"/>
      <c r="I37" s="31"/>
    </row>
    <row r="38" spans="2:13" ht="24" customHeight="1">
      <c r="B38" s="32"/>
      <c r="I38" s="31"/>
    </row>
    <row r="39" spans="2:13" ht="20.25" customHeight="1">
      <c r="I39" s="31"/>
    </row>
    <row r="40" spans="2:13" ht="20.25" customHeight="1">
      <c r="I40" s="31"/>
    </row>
    <row r="41" spans="2:13" ht="20.25" customHeight="1"/>
    <row r="42" spans="2:13" ht="20.25" customHeight="1"/>
    <row r="43" spans="2:13" ht="20.25" customHeight="1">
      <c r="L43" s="3" t="s">
        <v>37</v>
      </c>
    </row>
    <row r="44" spans="2:13" ht="20.25" customHeight="1"/>
    <row r="45" spans="2:13" ht="20.25" customHeight="1"/>
    <row r="46" spans="2:13" ht="21" customHeight="1"/>
    <row r="47" spans="2:13" ht="21" customHeight="1"/>
    <row r="48" spans="2:13" ht="18" customHeight="1"/>
    <row r="49" spans="2:13" ht="18" customHeight="1">
      <c r="I49" s="33"/>
    </row>
    <row r="50" spans="2:13" ht="18" customHeight="1"/>
    <row r="51" spans="2:13" ht="18" customHeight="1"/>
    <row r="52" spans="2:13" ht="18" customHeight="1"/>
    <row r="53" spans="2:13" ht="18" customHeight="1"/>
    <row r="54" spans="2:13" ht="18" customHeight="1"/>
    <row r="55" spans="2:13" ht="18" customHeight="1"/>
    <row r="56" spans="2:13" ht="18" customHeight="1"/>
    <row r="62" spans="2:13" s="34" customFormat="1" ht="27.6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</sheetData>
  <mergeCells count="11">
    <mergeCell ref="H2:I2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56CF-72AB-47C4-89BD-26A0AB5F2340}">
  <dimension ref="B2:M69"/>
  <sheetViews>
    <sheetView tabSelected="1" topLeftCell="A27" zoomScale="70" zoomScaleNormal="70" workbookViewId="0">
      <selection activeCell="T20" sqref="T20"/>
    </sheetView>
  </sheetViews>
  <sheetFormatPr defaultColWidth="8.7109375" defaultRowHeight="15"/>
  <cols>
    <col min="1" max="1" width="4.85546875" style="3" customWidth="1"/>
    <col min="2" max="2" width="16.28515625" style="3" customWidth="1"/>
    <col min="3" max="3" width="85.5703125" style="3" customWidth="1"/>
    <col min="4" max="4" width="9.42578125" style="98" customWidth="1"/>
    <col min="5" max="5" width="14.42578125" style="3" customWidth="1"/>
    <col min="6" max="7" width="14.28515625" style="98" customWidth="1"/>
    <col min="8" max="9" width="11.7109375" style="98" customWidth="1"/>
    <col min="10" max="10" width="15" style="98" customWidth="1"/>
    <col min="11" max="11" width="17" style="98" customWidth="1"/>
    <col min="12" max="12" width="18.7109375" style="98" bestFit="1" customWidth="1"/>
    <col min="13" max="13" width="58.42578125" style="98" bestFit="1" customWidth="1"/>
    <col min="14" max="14" width="20" style="3" customWidth="1"/>
    <col min="15" max="16384" width="8.7109375" style="3"/>
  </cols>
  <sheetData>
    <row r="2" spans="2:13" s="2" customFormat="1" ht="28.5" customHeight="1">
      <c r="B2" s="246" t="s">
        <v>0</v>
      </c>
      <c r="C2" s="247" t="s">
        <v>1</v>
      </c>
      <c r="D2" s="260" t="s">
        <v>2</v>
      </c>
      <c r="E2" s="244" t="s">
        <v>3</v>
      </c>
      <c r="F2" s="260" t="s">
        <v>4</v>
      </c>
      <c r="G2" s="260" t="s">
        <v>5</v>
      </c>
      <c r="H2" s="242" t="s">
        <v>6</v>
      </c>
      <c r="I2" s="242"/>
      <c r="J2" s="309" t="s">
        <v>7</v>
      </c>
      <c r="K2" s="260" t="s">
        <v>8</v>
      </c>
      <c r="L2" s="266" t="s">
        <v>9</v>
      </c>
      <c r="M2" s="266" t="s">
        <v>10</v>
      </c>
    </row>
    <row r="3" spans="2:13" ht="21" customHeight="1">
      <c r="B3" s="246"/>
      <c r="C3" s="247"/>
      <c r="D3" s="260"/>
      <c r="E3" s="244"/>
      <c r="F3" s="260"/>
      <c r="G3" s="260"/>
      <c r="H3" s="104" t="s">
        <v>11</v>
      </c>
      <c r="I3" s="104" t="s">
        <v>12</v>
      </c>
      <c r="J3" s="309"/>
      <c r="K3" s="260"/>
      <c r="L3" s="266"/>
      <c r="M3" s="266"/>
    </row>
    <row r="4" spans="2:13" ht="21" customHeight="1">
      <c r="B4" s="17">
        <v>46112</v>
      </c>
      <c r="C4" s="18" t="s">
        <v>170</v>
      </c>
      <c r="D4" s="95" t="s">
        <v>185</v>
      </c>
      <c r="E4" s="7">
        <v>10500</v>
      </c>
      <c r="F4" s="96">
        <v>10702</v>
      </c>
      <c r="G4" s="96">
        <v>44</v>
      </c>
      <c r="H4" s="105">
        <v>0.34375</v>
      </c>
      <c r="I4" s="105">
        <v>0.45833333333333331</v>
      </c>
      <c r="J4" s="200">
        <f>I4-H4</f>
        <v>0.11458333333333331</v>
      </c>
      <c r="K4" s="101">
        <f>IFERROR((J4*24*60)/F4,"")</f>
        <v>1.5417678938516163E-2</v>
      </c>
      <c r="L4" s="110"/>
      <c r="M4" s="109" t="s">
        <v>248</v>
      </c>
    </row>
    <row r="5" spans="2:13" ht="21" customHeight="1">
      <c r="B5" s="22" t="s">
        <v>249</v>
      </c>
      <c r="C5" s="4"/>
      <c r="D5" s="95" t="s">
        <v>30</v>
      </c>
      <c r="E5" s="24" t="s">
        <v>30</v>
      </c>
      <c r="F5" s="95" t="s">
        <v>30</v>
      </c>
      <c r="G5" s="96">
        <v>44</v>
      </c>
      <c r="H5" s="105">
        <v>0.45833333333333331</v>
      </c>
      <c r="I5" s="105">
        <v>0.46875</v>
      </c>
      <c r="J5" s="200">
        <f t="shared" ref="J5:J42" si="0">I5-H5</f>
        <v>1.0416666666666685E-2</v>
      </c>
      <c r="K5" s="101" t="str">
        <f t="shared" ref="K5:K42" si="1">IFERROR((J5*24*60)/F5,"")</f>
        <v/>
      </c>
      <c r="L5" s="201"/>
      <c r="M5" s="109"/>
    </row>
    <row r="6" spans="2:13" ht="21" customHeight="1">
      <c r="B6" s="4"/>
      <c r="C6" s="4" t="s">
        <v>250</v>
      </c>
      <c r="D6" s="74" t="s">
        <v>14</v>
      </c>
      <c r="E6" s="75">
        <v>1500</v>
      </c>
      <c r="F6" s="208">
        <v>1593</v>
      </c>
      <c r="G6" s="75">
        <v>21</v>
      </c>
      <c r="H6" s="76">
        <v>0.4201388888888889</v>
      </c>
      <c r="I6" s="76">
        <v>0.49305555555555558</v>
      </c>
      <c r="J6" s="77">
        <f t="shared" si="0"/>
        <v>7.2916666666666685E-2</v>
      </c>
      <c r="K6" s="78">
        <f t="shared" si="1"/>
        <v>6.5913370998116783E-2</v>
      </c>
      <c r="L6" s="109"/>
      <c r="M6" s="263" t="s">
        <v>251</v>
      </c>
    </row>
    <row r="7" spans="2:13" ht="21" customHeight="1">
      <c r="B7" s="4"/>
      <c r="C7" s="4"/>
      <c r="D7" s="74" t="s">
        <v>17</v>
      </c>
      <c r="E7" s="75">
        <v>1500</v>
      </c>
      <c r="F7" s="208">
        <v>1512</v>
      </c>
      <c r="G7" s="75">
        <v>21</v>
      </c>
      <c r="H7" s="76">
        <v>0.49305555555555558</v>
      </c>
      <c r="I7" s="76">
        <v>0.54513888888888884</v>
      </c>
      <c r="J7" s="77">
        <f t="shared" si="0"/>
        <v>5.2083333333333259E-2</v>
      </c>
      <c r="K7" s="78">
        <f t="shared" si="1"/>
        <v>4.9603174603174531E-2</v>
      </c>
      <c r="L7" s="109"/>
      <c r="M7" s="308"/>
    </row>
    <row r="8" spans="2:13" ht="21" customHeight="1">
      <c r="B8" s="4"/>
      <c r="C8" s="4"/>
      <c r="D8" s="95" t="s">
        <v>18</v>
      </c>
      <c r="E8" s="7">
        <v>1500</v>
      </c>
      <c r="F8" s="209">
        <v>1512</v>
      </c>
      <c r="G8" s="102" t="s">
        <v>73</v>
      </c>
      <c r="H8" s="105">
        <v>0.46875</v>
      </c>
      <c r="I8" s="105">
        <v>0.49652777777777779</v>
      </c>
      <c r="J8" s="200">
        <f t="shared" si="0"/>
        <v>2.777777777777779E-2</v>
      </c>
      <c r="K8" s="101">
        <f t="shared" si="1"/>
        <v>2.6455026455026464E-2</v>
      </c>
      <c r="L8" s="202"/>
      <c r="M8" s="197" t="s">
        <v>252</v>
      </c>
    </row>
    <row r="9" spans="2:13" ht="21" customHeight="1">
      <c r="B9" s="4"/>
      <c r="C9" s="4"/>
      <c r="D9" s="95" t="s">
        <v>19</v>
      </c>
      <c r="E9" s="7">
        <v>1500</v>
      </c>
      <c r="F9" s="209">
        <v>1485</v>
      </c>
      <c r="G9" s="96">
        <v>44</v>
      </c>
      <c r="H9" s="105">
        <v>0.49652777777777779</v>
      </c>
      <c r="I9" s="105">
        <v>0.52083333333333337</v>
      </c>
      <c r="J9" s="200">
        <f t="shared" si="0"/>
        <v>2.430555555555558E-2</v>
      </c>
      <c r="K9" s="101">
        <f t="shared" si="1"/>
        <v>2.3569023569023594E-2</v>
      </c>
      <c r="L9" s="109"/>
      <c r="M9" s="114"/>
    </row>
    <row r="10" spans="2:13" ht="21" customHeight="1">
      <c r="B10" s="4"/>
      <c r="C10" s="4"/>
      <c r="D10" s="95" t="s">
        <v>20</v>
      </c>
      <c r="E10" s="7">
        <v>1500</v>
      </c>
      <c r="F10" s="209">
        <v>1512</v>
      </c>
      <c r="G10" s="96">
        <v>44</v>
      </c>
      <c r="H10" s="105">
        <v>0.52083333333333337</v>
      </c>
      <c r="I10" s="105">
        <v>0.54513888888888884</v>
      </c>
      <c r="J10" s="200">
        <f t="shared" si="0"/>
        <v>2.4305555555555469E-2</v>
      </c>
      <c r="K10" s="101">
        <f t="shared" si="1"/>
        <v>2.3148148148148064E-2</v>
      </c>
      <c r="L10" s="109"/>
      <c r="M10" s="203"/>
    </row>
    <row r="11" spans="2:13" ht="21" customHeight="1">
      <c r="B11" s="4"/>
      <c r="C11" s="4"/>
      <c r="D11" s="95" t="s">
        <v>30</v>
      </c>
      <c r="E11" s="24" t="s">
        <v>30</v>
      </c>
      <c r="F11" s="210" t="s">
        <v>30</v>
      </c>
      <c r="G11" s="96">
        <v>8</v>
      </c>
      <c r="H11" s="105">
        <v>0.54513888888888884</v>
      </c>
      <c r="I11" s="105">
        <v>0.58680555555555558</v>
      </c>
      <c r="J11" s="200">
        <f t="shared" si="0"/>
        <v>4.1666666666666741E-2</v>
      </c>
      <c r="K11" s="101" t="str">
        <f t="shared" si="1"/>
        <v/>
      </c>
      <c r="L11" s="109"/>
      <c r="M11" s="197" t="s">
        <v>51</v>
      </c>
    </row>
    <row r="12" spans="2:13" ht="21" customHeight="1">
      <c r="B12" s="4"/>
      <c r="C12" s="4"/>
      <c r="D12" s="95" t="s">
        <v>21</v>
      </c>
      <c r="E12" s="7">
        <v>1500</v>
      </c>
      <c r="F12" s="209">
        <v>1485</v>
      </c>
      <c r="G12" s="96">
        <v>36</v>
      </c>
      <c r="H12" s="105">
        <v>0.59722222222222221</v>
      </c>
      <c r="I12" s="105">
        <v>0.62847222222222221</v>
      </c>
      <c r="J12" s="200">
        <f t="shared" si="0"/>
        <v>3.125E-2</v>
      </c>
      <c r="K12" s="101">
        <f t="shared" si="1"/>
        <v>3.0303030303030304E-2</v>
      </c>
      <c r="L12" s="109"/>
      <c r="M12" s="109"/>
    </row>
    <row r="13" spans="2:13" ht="21" customHeight="1">
      <c r="B13" s="4"/>
      <c r="C13" s="4"/>
      <c r="D13" s="95" t="s">
        <v>22</v>
      </c>
      <c r="E13" s="7">
        <v>1500</v>
      </c>
      <c r="F13" s="209">
        <v>1512</v>
      </c>
      <c r="G13" s="96">
        <v>44</v>
      </c>
      <c r="H13" s="105">
        <v>0.62847222222222221</v>
      </c>
      <c r="I13" s="105">
        <v>0.64930555555555558</v>
      </c>
      <c r="J13" s="200">
        <f t="shared" si="0"/>
        <v>2.083333333333337E-2</v>
      </c>
      <c r="K13" s="101">
        <f t="shared" si="1"/>
        <v>1.9841269841269875E-2</v>
      </c>
      <c r="L13" s="109"/>
      <c r="M13" s="109"/>
    </row>
    <row r="14" spans="2:13" ht="21" customHeight="1">
      <c r="B14" s="4"/>
      <c r="C14" s="4"/>
      <c r="D14" s="95" t="s">
        <v>23</v>
      </c>
      <c r="E14" s="7">
        <v>1500</v>
      </c>
      <c r="F14" s="209">
        <v>1485</v>
      </c>
      <c r="G14" s="96">
        <v>44</v>
      </c>
      <c r="H14" s="105">
        <v>0.64930555555555558</v>
      </c>
      <c r="I14" s="105">
        <v>0.67013888888888884</v>
      </c>
      <c r="J14" s="200">
        <f t="shared" si="0"/>
        <v>2.0833333333333259E-2</v>
      </c>
      <c r="K14" s="101">
        <f t="shared" si="1"/>
        <v>2.0202020202020131E-2</v>
      </c>
      <c r="L14" s="109"/>
      <c r="M14" s="109"/>
    </row>
    <row r="15" spans="2:13" ht="23.25" customHeight="1">
      <c r="B15" s="17"/>
      <c r="C15" s="26"/>
      <c r="D15" s="95" t="s">
        <v>24</v>
      </c>
      <c r="E15" s="7">
        <v>1500</v>
      </c>
      <c r="F15" s="209">
        <v>1539</v>
      </c>
      <c r="G15" s="96">
        <v>44</v>
      </c>
      <c r="H15" s="105">
        <v>0.67013888888888884</v>
      </c>
      <c r="I15" s="105">
        <v>0.69444444444444442</v>
      </c>
      <c r="J15" s="200">
        <f t="shared" si="0"/>
        <v>2.430555555555558E-2</v>
      </c>
      <c r="K15" s="101">
        <f t="shared" si="1"/>
        <v>2.2742040285899958E-2</v>
      </c>
      <c r="L15" s="202"/>
      <c r="M15" s="112"/>
    </row>
    <row r="16" spans="2:13" ht="23.25" customHeight="1">
      <c r="B16" s="17"/>
      <c r="C16" s="26"/>
      <c r="D16" s="95" t="s">
        <v>253</v>
      </c>
      <c r="E16" s="7">
        <v>2250</v>
      </c>
      <c r="F16" s="209">
        <v>2727</v>
      </c>
      <c r="G16" s="96">
        <v>44</v>
      </c>
      <c r="H16" s="105">
        <v>0.69444444444444442</v>
      </c>
      <c r="I16" s="105">
        <v>0.74305555555555558</v>
      </c>
      <c r="J16" s="200">
        <f t="shared" si="0"/>
        <v>4.861111111111116E-2</v>
      </c>
      <c r="K16" s="101">
        <f t="shared" si="1"/>
        <v>2.5669233590025695E-2</v>
      </c>
      <c r="L16" s="202"/>
      <c r="M16" s="112"/>
    </row>
    <row r="17" spans="2:13" ht="23.25" customHeight="1">
      <c r="B17" s="17"/>
      <c r="C17" s="55"/>
      <c r="D17" s="24" t="s">
        <v>28</v>
      </c>
      <c r="E17" s="24"/>
      <c r="F17" s="210">
        <v>18</v>
      </c>
      <c r="G17" s="102"/>
      <c r="H17" s="105"/>
      <c r="I17" s="105"/>
      <c r="J17" s="200"/>
      <c r="K17" s="101"/>
      <c r="L17" s="202"/>
      <c r="M17" s="204"/>
    </row>
    <row r="18" spans="2:13" ht="23.25" customHeight="1">
      <c r="B18" s="17"/>
      <c r="C18" s="26"/>
      <c r="D18" s="24" t="s">
        <v>29</v>
      </c>
      <c r="E18" s="7"/>
      <c r="F18" s="209">
        <v>15</v>
      </c>
      <c r="G18" s="102"/>
      <c r="H18" s="105"/>
      <c r="I18" s="105"/>
      <c r="J18" s="200"/>
      <c r="K18" s="101"/>
      <c r="L18" s="202"/>
      <c r="M18" s="205"/>
    </row>
    <row r="19" spans="2:13" ht="23.25" customHeight="1">
      <c r="B19" s="17"/>
      <c r="C19" s="26"/>
      <c r="D19" s="95" t="s">
        <v>30</v>
      </c>
      <c r="E19" s="24" t="s">
        <v>30</v>
      </c>
      <c r="F19" s="210" t="s">
        <v>30</v>
      </c>
      <c r="G19" s="96">
        <v>44</v>
      </c>
      <c r="H19" s="105">
        <v>0.74305555555555558</v>
      </c>
      <c r="I19" s="105">
        <v>0.75347222222222221</v>
      </c>
      <c r="J19" s="200">
        <f t="shared" si="0"/>
        <v>1.041666666666663E-2</v>
      </c>
      <c r="K19" s="101" t="str">
        <f t="shared" si="1"/>
        <v/>
      </c>
      <c r="L19" s="202"/>
      <c r="M19" s="112"/>
    </row>
    <row r="20" spans="2:13" ht="23.25" customHeight="1">
      <c r="B20" s="17"/>
      <c r="C20" s="26" t="s">
        <v>254</v>
      </c>
      <c r="D20" s="95" t="s">
        <v>14</v>
      </c>
      <c r="E20" s="7">
        <v>1500</v>
      </c>
      <c r="F20" s="209">
        <v>1512</v>
      </c>
      <c r="G20" s="96">
        <v>44</v>
      </c>
      <c r="H20" s="105">
        <v>0.75347222222222221</v>
      </c>
      <c r="I20" s="105">
        <v>0.77430555555555558</v>
      </c>
      <c r="J20" s="200">
        <f t="shared" si="0"/>
        <v>2.083333333333337E-2</v>
      </c>
      <c r="K20" s="101">
        <f t="shared" si="1"/>
        <v>1.9841269841269875E-2</v>
      </c>
      <c r="L20" s="202"/>
      <c r="M20" s="112"/>
    </row>
    <row r="21" spans="2:13" ht="23.25" customHeight="1">
      <c r="B21" s="17"/>
      <c r="C21" s="26"/>
      <c r="D21" s="95" t="s">
        <v>17</v>
      </c>
      <c r="E21" s="7">
        <v>1500</v>
      </c>
      <c r="F21" s="209">
        <v>1488</v>
      </c>
      <c r="G21" s="96">
        <v>44</v>
      </c>
      <c r="H21" s="105">
        <v>0.77430555555555558</v>
      </c>
      <c r="I21" s="105">
        <v>0.79166666666666663</v>
      </c>
      <c r="J21" s="200">
        <f t="shared" si="0"/>
        <v>1.7361111111111049E-2</v>
      </c>
      <c r="K21" s="101">
        <f t="shared" si="1"/>
        <v>1.6801075268817144E-2</v>
      </c>
      <c r="L21" s="202"/>
      <c r="M21" s="112"/>
    </row>
    <row r="22" spans="2:13" ht="23.25" customHeight="1">
      <c r="B22" s="17"/>
      <c r="C22" s="26"/>
      <c r="D22" s="95" t="s">
        <v>18</v>
      </c>
      <c r="E22" s="7">
        <v>1500</v>
      </c>
      <c r="F22" s="209">
        <v>1512</v>
      </c>
      <c r="G22" s="96">
        <v>49</v>
      </c>
      <c r="H22" s="105">
        <v>0.79166666666666663</v>
      </c>
      <c r="I22" s="105">
        <v>0.80555555555555558</v>
      </c>
      <c r="J22" s="200">
        <f t="shared" si="0"/>
        <v>1.3888888888888951E-2</v>
      </c>
      <c r="K22" s="101">
        <f t="shared" si="1"/>
        <v>1.3227513227513286E-2</v>
      </c>
      <c r="L22" s="202"/>
      <c r="M22" s="112" t="s">
        <v>255</v>
      </c>
    </row>
    <row r="23" spans="2:13" ht="23.25" customHeight="1">
      <c r="B23" s="17"/>
      <c r="C23" s="26"/>
      <c r="D23" s="95" t="s">
        <v>19</v>
      </c>
      <c r="E23" s="7">
        <v>1500</v>
      </c>
      <c r="F23" s="209">
        <v>1488</v>
      </c>
      <c r="G23" s="96">
        <v>49</v>
      </c>
      <c r="H23" s="105">
        <v>0.80555555555555558</v>
      </c>
      <c r="I23" s="105">
        <v>0.81944444444444442</v>
      </c>
      <c r="J23" s="200">
        <f t="shared" si="0"/>
        <v>1.388888888888884E-2</v>
      </c>
      <c r="K23" s="101">
        <f t="shared" si="1"/>
        <v>1.3440860215053715E-2</v>
      </c>
      <c r="L23" s="202"/>
      <c r="M23" s="112"/>
    </row>
    <row r="24" spans="2:13" ht="23.25" customHeight="1">
      <c r="B24" s="17"/>
      <c r="C24" s="26"/>
      <c r="D24" s="95" t="s">
        <v>20</v>
      </c>
      <c r="E24" s="7">
        <v>1500</v>
      </c>
      <c r="F24" s="209">
        <v>1512</v>
      </c>
      <c r="G24" s="96">
        <v>49</v>
      </c>
      <c r="H24" s="105">
        <v>0.81944444444444442</v>
      </c>
      <c r="I24" s="105">
        <v>0.83333333333333337</v>
      </c>
      <c r="J24" s="200">
        <f t="shared" si="0"/>
        <v>1.3888888888888951E-2</v>
      </c>
      <c r="K24" s="101">
        <f t="shared" si="1"/>
        <v>1.3227513227513286E-2</v>
      </c>
      <c r="L24" s="202"/>
      <c r="M24" s="112"/>
    </row>
    <row r="25" spans="2:13" ht="23.25" customHeight="1">
      <c r="B25" s="17"/>
      <c r="C25" s="26"/>
      <c r="D25" s="95" t="s">
        <v>21</v>
      </c>
      <c r="E25" s="7">
        <v>1500</v>
      </c>
      <c r="F25" s="209">
        <v>1488</v>
      </c>
      <c r="G25" s="96">
        <v>49</v>
      </c>
      <c r="H25" s="105">
        <v>0.83333333333333337</v>
      </c>
      <c r="I25" s="105">
        <v>0.84722222222222221</v>
      </c>
      <c r="J25" s="200">
        <f t="shared" ref="J25:J26" si="2">I25-H25</f>
        <v>1.388888888888884E-2</v>
      </c>
      <c r="K25" s="101">
        <f t="shared" ref="K25:K26" si="3">IFERROR((J25*24*60)/F25,"")</f>
        <v>1.3440860215053715E-2</v>
      </c>
      <c r="L25" s="202"/>
      <c r="M25" s="112"/>
    </row>
    <row r="26" spans="2:13" ht="23.25" customHeight="1">
      <c r="B26" s="17"/>
      <c r="C26" s="26"/>
      <c r="D26" s="95" t="s">
        <v>22</v>
      </c>
      <c r="E26" s="7">
        <v>1500</v>
      </c>
      <c r="F26" s="209">
        <v>1752</v>
      </c>
      <c r="G26" s="96">
        <v>49</v>
      </c>
      <c r="H26" s="105">
        <v>0.84722222222222221</v>
      </c>
      <c r="I26" s="105">
        <v>0.86458333333333337</v>
      </c>
      <c r="J26" s="200">
        <f t="shared" si="2"/>
        <v>1.736111111111116E-2</v>
      </c>
      <c r="K26" s="101">
        <f t="shared" si="3"/>
        <v>1.4269406392694105E-2</v>
      </c>
      <c r="L26" s="202"/>
      <c r="M26" s="112"/>
    </row>
    <row r="27" spans="2:13" ht="23.25" customHeight="1">
      <c r="B27" s="17"/>
      <c r="C27" s="26"/>
      <c r="D27" s="24" t="s">
        <v>28</v>
      </c>
      <c r="E27" s="24"/>
      <c r="F27" s="210">
        <v>7</v>
      </c>
      <c r="G27" s="102"/>
      <c r="H27" s="105"/>
      <c r="I27" s="105"/>
      <c r="J27" s="200"/>
      <c r="K27" s="101"/>
      <c r="L27" s="202"/>
      <c r="M27" s="112"/>
    </row>
    <row r="28" spans="2:13" ht="23.25" customHeight="1">
      <c r="B28" s="17"/>
      <c r="C28" s="26"/>
      <c r="D28" s="24" t="s">
        <v>29</v>
      </c>
      <c r="E28" s="7"/>
      <c r="F28" s="209">
        <v>10</v>
      </c>
      <c r="G28" s="102"/>
      <c r="H28" s="105"/>
      <c r="I28" s="105"/>
      <c r="J28" s="200"/>
      <c r="K28" s="101"/>
      <c r="L28" s="202"/>
      <c r="M28" s="112"/>
    </row>
    <row r="29" spans="2:13" ht="23.25" customHeight="1">
      <c r="B29" s="17"/>
      <c r="C29" s="206" t="s">
        <v>256</v>
      </c>
      <c r="D29" s="74" t="s">
        <v>14</v>
      </c>
      <c r="E29" s="75">
        <v>1000</v>
      </c>
      <c r="F29" s="208">
        <v>960</v>
      </c>
      <c r="G29" s="75">
        <v>21</v>
      </c>
      <c r="H29" s="76">
        <v>0.60763888888888884</v>
      </c>
      <c r="I29" s="76">
        <v>0.64236111111111116</v>
      </c>
      <c r="J29" s="77">
        <f t="shared" si="0"/>
        <v>3.4722222222222321E-2</v>
      </c>
      <c r="K29" s="78">
        <f t="shared" si="1"/>
        <v>5.2083333333333481E-2</v>
      </c>
      <c r="L29" s="202"/>
      <c r="M29" s="263" t="s">
        <v>251</v>
      </c>
    </row>
    <row r="30" spans="2:13" ht="23.25" customHeight="1">
      <c r="B30" s="17"/>
      <c r="C30" s="26"/>
      <c r="D30" s="74" t="s">
        <v>17</v>
      </c>
      <c r="E30" s="75">
        <v>1000</v>
      </c>
      <c r="F30" s="208">
        <v>1000</v>
      </c>
      <c r="G30" s="75">
        <v>21</v>
      </c>
      <c r="H30" s="76">
        <v>0.64236111111111116</v>
      </c>
      <c r="I30" s="76">
        <v>0.67361111111111116</v>
      </c>
      <c r="J30" s="77">
        <f t="shared" ref="J30:J40" si="4">I30-H30</f>
        <v>3.125E-2</v>
      </c>
      <c r="K30" s="78">
        <f t="shared" ref="K30:K40" si="5">IFERROR((J30*24*60)/F30,"")</f>
        <v>4.4999999999999998E-2</v>
      </c>
      <c r="L30" s="202"/>
      <c r="M30" s="264"/>
    </row>
    <row r="31" spans="2:13" ht="23.25" customHeight="1">
      <c r="B31" s="17"/>
      <c r="C31" s="26"/>
      <c r="D31" s="74" t="s">
        <v>18</v>
      </c>
      <c r="E31" s="75">
        <v>1000</v>
      </c>
      <c r="F31" s="208">
        <v>1040</v>
      </c>
      <c r="G31" s="75">
        <v>21</v>
      </c>
      <c r="H31" s="76">
        <v>0.67361111111111116</v>
      </c>
      <c r="I31" s="76">
        <v>0.71180555555555558</v>
      </c>
      <c r="J31" s="77">
        <f t="shared" si="4"/>
        <v>3.819444444444442E-2</v>
      </c>
      <c r="K31" s="78">
        <f t="shared" si="5"/>
        <v>5.2884615384615349E-2</v>
      </c>
      <c r="L31" s="202"/>
      <c r="M31" s="264"/>
    </row>
    <row r="32" spans="2:13" ht="23.25" customHeight="1">
      <c r="B32" s="17"/>
      <c r="C32" s="26"/>
      <c r="D32" s="74" t="s">
        <v>19</v>
      </c>
      <c r="E32" s="75">
        <v>1000</v>
      </c>
      <c r="F32" s="208">
        <v>1000</v>
      </c>
      <c r="G32" s="75">
        <v>21</v>
      </c>
      <c r="H32" s="76">
        <v>0.71180555555555558</v>
      </c>
      <c r="I32" s="76">
        <v>0.75694444444444442</v>
      </c>
      <c r="J32" s="77">
        <f t="shared" si="4"/>
        <v>4.513888888888884E-2</v>
      </c>
      <c r="K32" s="78">
        <f t="shared" si="5"/>
        <v>6.4999999999999933E-2</v>
      </c>
      <c r="L32" s="202"/>
      <c r="M32" s="264"/>
    </row>
    <row r="33" spans="2:13" ht="23.25" customHeight="1">
      <c r="B33" s="17"/>
      <c r="C33" s="26"/>
      <c r="D33" s="74" t="s">
        <v>20</v>
      </c>
      <c r="E33" s="75">
        <v>1000</v>
      </c>
      <c r="F33" s="208">
        <v>1040</v>
      </c>
      <c r="G33" s="75">
        <v>21</v>
      </c>
      <c r="H33" s="76">
        <v>0.75694444444444442</v>
      </c>
      <c r="I33" s="76">
        <v>0.79861111111111116</v>
      </c>
      <c r="J33" s="77">
        <f t="shared" si="4"/>
        <v>4.1666666666666741E-2</v>
      </c>
      <c r="K33" s="78">
        <f t="shared" si="5"/>
        <v>5.7692307692307793E-2</v>
      </c>
      <c r="L33" s="202"/>
      <c r="M33" s="307"/>
    </row>
    <row r="34" spans="2:13" ht="23.25" customHeight="1">
      <c r="B34" s="17"/>
      <c r="C34" s="26"/>
      <c r="D34" s="74" t="s">
        <v>28</v>
      </c>
      <c r="E34" s="74"/>
      <c r="F34" s="211">
        <v>30</v>
      </c>
      <c r="G34" s="82"/>
      <c r="H34" s="76"/>
      <c r="I34" s="76"/>
      <c r="J34" s="77"/>
      <c r="K34" s="78"/>
      <c r="L34" s="202"/>
      <c r="M34" s="207"/>
    </row>
    <row r="35" spans="2:13" ht="30" customHeight="1">
      <c r="B35" s="17"/>
      <c r="C35" s="26"/>
      <c r="D35" s="74" t="s">
        <v>29</v>
      </c>
      <c r="E35" s="75"/>
      <c r="F35" s="208">
        <v>8</v>
      </c>
      <c r="G35" s="82"/>
      <c r="H35" s="76"/>
      <c r="I35" s="76"/>
      <c r="J35" s="77"/>
      <c r="K35" s="78"/>
      <c r="L35" s="202"/>
      <c r="M35" s="112"/>
    </row>
    <row r="36" spans="2:13" ht="23.25" customHeight="1">
      <c r="B36" s="17"/>
      <c r="C36" s="26"/>
      <c r="D36" s="95" t="s">
        <v>30</v>
      </c>
      <c r="E36" s="24" t="s">
        <v>30</v>
      </c>
      <c r="F36" s="210" t="s">
        <v>30</v>
      </c>
      <c r="G36" s="102" t="s">
        <v>156</v>
      </c>
      <c r="H36" s="105">
        <v>0.86458333333333337</v>
      </c>
      <c r="I36" s="105">
        <v>0.875</v>
      </c>
      <c r="J36" s="200">
        <f t="shared" si="4"/>
        <v>1.041666666666663E-2</v>
      </c>
      <c r="K36" s="101" t="str">
        <f t="shared" si="5"/>
        <v/>
      </c>
      <c r="L36" s="202"/>
      <c r="M36" s="112"/>
    </row>
    <row r="37" spans="2:13" ht="23.25" customHeight="1">
      <c r="B37" s="17"/>
      <c r="C37" s="26" t="s">
        <v>257</v>
      </c>
      <c r="D37" s="95" t="s">
        <v>14</v>
      </c>
      <c r="E37" s="7">
        <v>1000</v>
      </c>
      <c r="F37" s="209">
        <v>1026</v>
      </c>
      <c r="G37" s="96">
        <v>49</v>
      </c>
      <c r="H37" s="105">
        <v>0.875</v>
      </c>
      <c r="I37" s="105">
        <v>0.88541666666666663</v>
      </c>
      <c r="J37" s="200">
        <f t="shared" si="4"/>
        <v>1.041666666666663E-2</v>
      </c>
      <c r="K37" s="101">
        <f t="shared" si="5"/>
        <v>1.4619883040935621E-2</v>
      </c>
      <c r="L37" s="202"/>
      <c r="M37" s="112"/>
    </row>
    <row r="38" spans="2:13" ht="23.25" customHeight="1">
      <c r="B38" s="17"/>
      <c r="C38" s="26"/>
      <c r="D38" s="95" t="s">
        <v>17</v>
      </c>
      <c r="E38" s="7">
        <v>1000</v>
      </c>
      <c r="F38" s="209">
        <v>999</v>
      </c>
      <c r="G38" s="96">
        <v>49</v>
      </c>
      <c r="H38" s="105">
        <v>0.88541666666666663</v>
      </c>
      <c r="I38" s="105">
        <v>0.89583333333333337</v>
      </c>
      <c r="J38" s="200">
        <f t="shared" si="4"/>
        <v>1.0416666666666741E-2</v>
      </c>
      <c r="K38" s="101">
        <f t="shared" si="5"/>
        <v>1.5015015015015122E-2</v>
      </c>
      <c r="L38" s="202"/>
      <c r="M38" s="112"/>
    </row>
    <row r="39" spans="2:13" ht="23.25" customHeight="1">
      <c r="B39" s="17"/>
      <c r="C39" s="26"/>
      <c r="D39" s="95" t="s">
        <v>18</v>
      </c>
      <c r="E39" s="7">
        <v>1000</v>
      </c>
      <c r="F39" s="209">
        <v>1026</v>
      </c>
      <c r="G39" s="96">
        <v>49</v>
      </c>
      <c r="H39" s="105">
        <v>0.89583333333333337</v>
      </c>
      <c r="I39" s="105">
        <v>0.90625</v>
      </c>
      <c r="J39" s="200">
        <f t="shared" si="4"/>
        <v>1.041666666666663E-2</v>
      </c>
      <c r="K39" s="101">
        <f t="shared" si="5"/>
        <v>1.4619883040935621E-2</v>
      </c>
      <c r="L39" s="202"/>
      <c r="M39" s="112"/>
    </row>
    <row r="40" spans="2:13" ht="23.25" customHeight="1">
      <c r="B40" s="17"/>
      <c r="C40" s="26"/>
      <c r="D40" s="95" t="s">
        <v>19</v>
      </c>
      <c r="E40" s="7">
        <v>1000</v>
      </c>
      <c r="F40" s="209">
        <v>999</v>
      </c>
      <c r="G40" s="96">
        <v>49</v>
      </c>
      <c r="H40" s="105">
        <v>0.90625</v>
      </c>
      <c r="I40" s="105">
        <v>0.91666666666666663</v>
      </c>
      <c r="J40" s="200">
        <f t="shared" si="4"/>
        <v>1.041666666666663E-2</v>
      </c>
      <c r="K40" s="101">
        <f t="shared" si="5"/>
        <v>1.5015015015014961E-2</v>
      </c>
      <c r="L40" s="202"/>
      <c r="M40" s="112"/>
    </row>
    <row r="41" spans="2:13" ht="23.25" customHeight="1">
      <c r="B41" s="17"/>
      <c r="C41" s="26"/>
      <c r="D41" s="24" t="s">
        <v>28</v>
      </c>
      <c r="E41" s="24"/>
      <c r="F41" s="210" t="s">
        <v>193</v>
      </c>
      <c r="G41" s="102"/>
      <c r="H41" s="105"/>
      <c r="I41" s="105"/>
      <c r="J41" s="200"/>
      <c r="K41" s="101"/>
      <c r="L41" s="202"/>
      <c r="M41" s="112"/>
    </row>
    <row r="42" spans="2:13" ht="23.25" customHeight="1">
      <c r="B42" s="17"/>
      <c r="C42" s="26"/>
      <c r="D42" s="24" t="s">
        <v>29</v>
      </c>
      <c r="E42" s="7"/>
      <c r="F42" s="209">
        <v>4</v>
      </c>
      <c r="G42" s="102"/>
      <c r="H42" s="105"/>
      <c r="I42" s="105"/>
      <c r="J42" s="200"/>
      <c r="K42" s="101"/>
      <c r="L42" s="202"/>
      <c r="M42" s="112"/>
    </row>
    <row r="43" spans="2:13" ht="24" customHeight="1">
      <c r="B43" s="56"/>
      <c r="C43" s="28" t="s">
        <v>36</v>
      </c>
      <c r="D43" s="199"/>
      <c r="E43" s="30">
        <f>SUM(E6:E42)</f>
        <v>35250</v>
      </c>
      <c r="F43" s="100">
        <v>36316</v>
      </c>
      <c r="G43" s="103"/>
      <c r="H43" s="103"/>
      <c r="I43" s="106"/>
      <c r="J43" s="103"/>
      <c r="K43" s="103"/>
      <c r="L43" s="103"/>
      <c r="M43" s="112"/>
    </row>
    <row r="44" spans="2:13" ht="24" customHeight="1">
      <c r="C44" s="32"/>
      <c r="I44" s="107"/>
    </row>
    <row r="45" spans="2:13" ht="24" customHeight="1">
      <c r="B45" s="32"/>
      <c r="I45" s="107"/>
    </row>
    <row r="46" spans="2:13" ht="20.25" customHeight="1">
      <c r="I46" s="107"/>
    </row>
    <row r="47" spans="2:13" ht="20.25" customHeight="1">
      <c r="I47" s="107"/>
    </row>
    <row r="48" spans="2:13" ht="20.25" customHeight="1"/>
    <row r="49" spans="9:12" ht="20.25" customHeight="1"/>
    <row r="50" spans="9:12" ht="20.25" customHeight="1">
      <c r="L50" s="98" t="s">
        <v>37</v>
      </c>
    </row>
    <row r="51" spans="9:12" ht="20.25" customHeight="1"/>
    <row r="52" spans="9:12" ht="20.25" customHeight="1"/>
    <row r="53" spans="9:12" ht="21" customHeight="1"/>
    <row r="54" spans="9:12" ht="21" customHeight="1"/>
    <row r="55" spans="9:12" ht="18" customHeight="1"/>
    <row r="56" spans="9:12" ht="18" customHeight="1">
      <c r="I56" s="108"/>
    </row>
    <row r="57" spans="9:12" ht="18" customHeight="1"/>
    <row r="58" spans="9:12" ht="18" customHeight="1"/>
    <row r="59" spans="9:12" ht="18" customHeight="1"/>
    <row r="60" spans="9:12" ht="18" customHeight="1"/>
    <row r="61" spans="9:12" ht="18" customHeight="1"/>
    <row r="62" spans="9:12" ht="18" customHeight="1"/>
    <row r="63" spans="9:12" ht="18" customHeight="1"/>
    <row r="69" spans="2:13" s="34" customFormat="1" ht="27.6" customHeight="1">
      <c r="B69" s="3"/>
      <c r="C69" s="3"/>
      <c r="D69" s="98"/>
      <c r="E69" s="3"/>
      <c r="F69" s="98"/>
      <c r="G69" s="98"/>
      <c r="H69" s="98"/>
      <c r="I69" s="98"/>
      <c r="J69" s="98"/>
      <c r="K69" s="98"/>
      <c r="L69" s="98"/>
      <c r="M69" s="98"/>
    </row>
  </sheetData>
  <mergeCells count="13">
    <mergeCell ref="M29:M33"/>
    <mergeCell ref="G2:G3"/>
    <mergeCell ref="M6:M7"/>
    <mergeCell ref="B2:B3"/>
    <mergeCell ref="C2:C3"/>
    <mergeCell ref="D2:D3"/>
    <mergeCell ref="E2:E3"/>
    <mergeCell ref="F2:F3"/>
    <mergeCell ref="H2:I2"/>
    <mergeCell ref="J2:J3"/>
    <mergeCell ref="K2:K3"/>
    <mergeCell ref="L2:L3"/>
    <mergeCell ref="M2:M3"/>
  </mergeCells>
  <phoneticPr fontId="12" type="noConversion"/>
  <pageMargins left="0.25" right="0.25" top="0.28999999999999998" bottom="0.26" header="0.23" footer="0.18"/>
  <pageSetup scale="42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31C8727E9F341B58A864A14ECA3A9" ma:contentTypeVersion="17" ma:contentTypeDescription="Create a new document." ma:contentTypeScope="" ma:versionID="c6005975cbf64ba9183a46009156fddf">
  <xsd:schema xmlns:xsd="http://www.w3.org/2001/XMLSchema" xmlns:xs="http://www.w3.org/2001/XMLSchema" xmlns:p="http://schemas.microsoft.com/office/2006/metadata/properties" xmlns:ns2="0ea193a0-a4e8-40f9-868c-88f7d36eae2d" xmlns:ns3="de6fe8b5-791a-43ec-a5ff-f7355eeb75f1" targetNamespace="http://schemas.microsoft.com/office/2006/metadata/properties" ma:root="true" ma:fieldsID="f931201fc2ec8911e984d24ca963aa48" ns2:_="" ns3:_="">
    <xsd:import namespace="0ea193a0-a4e8-40f9-868c-88f7d36eae2d"/>
    <xsd:import namespace="de6fe8b5-791a-43ec-a5ff-f7355eeb7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193a0-a4e8-40f9-868c-88f7d36eae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a6f55-e156-4039-9ab8-889c5b25f1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fe8b5-791a-43ec-a5ff-f7355eeb75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109874-895f-455b-9d4a-a2ee5f1d71ec}" ma:internalName="TaxCatchAll" ma:showField="CatchAllData" ma:web="de6fe8b5-791a-43ec-a5ff-f7355eeb7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a193a0-a4e8-40f9-868c-88f7d36eae2d">
      <Terms xmlns="http://schemas.microsoft.com/office/infopath/2007/PartnerControls"/>
    </lcf76f155ced4ddcb4097134ff3c332f>
    <TaxCatchAll xmlns="de6fe8b5-791a-43ec-a5ff-f7355eeb75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C51600-6EA1-4A92-BDDA-CD8F51B5FC4C}"/>
</file>

<file path=customXml/itemProps2.xml><?xml version="1.0" encoding="utf-8"?>
<ds:datastoreItem xmlns:ds="http://schemas.openxmlformats.org/officeDocument/2006/customXml" ds:itemID="{FE693A6C-A602-492C-9EB8-765093411F9C}"/>
</file>

<file path=customXml/itemProps3.xml><?xml version="1.0" encoding="utf-8"?>
<ds:datastoreItem xmlns:ds="http://schemas.openxmlformats.org/officeDocument/2006/customXml" ds:itemID="{059A38E3-DD1F-4B96-9E98-D1D000B0F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Nattawadee Sripilas(Gift)</dc:creator>
  <cp:keywords/>
  <dc:description/>
  <cp:lastModifiedBy>Sathinee Inthacho (View)</cp:lastModifiedBy>
  <cp:revision/>
  <dcterms:created xsi:type="dcterms:W3CDTF">2026-02-04T09:45:52Z</dcterms:created>
  <dcterms:modified xsi:type="dcterms:W3CDTF">2026-04-07T13:22:31Z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416c6e-dfd2-4f34-9c66-7e3f78f23021_Enabled">
    <vt:lpwstr>true</vt:lpwstr>
  </property>
  <property fmtid="{D5CDD505-2E9C-101B-9397-08002B2CF9AE}" pid="3" name="MSIP_Label_ac416c6e-dfd2-4f34-9c66-7e3f78f23021_SetDate">
    <vt:lpwstr>2026-02-04T09:46:06Z</vt:lpwstr>
  </property>
  <property fmtid="{D5CDD505-2E9C-101B-9397-08002B2CF9AE}" pid="4" name="MSIP_Label_ac416c6e-dfd2-4f34-9c66-7e3f78f23021_Method">
    <vt:lpwstr>Standard</vt:lpwstr>
  </property>
  <property fmtid="{D5CDD505-2E9C-101B-9397-08002B2CF9AE}" pid="5" name="MSIP_Label_ac416c6e-dfd2-4f34-9c66-7e3f78f23021_Name">
    <vt:lpwstr>ac416c6e-dfd2-4f34-9c66-7e3f78f23021</vt:lpwstr>
  </property>
  <property fmtid="{D5CDD505-2E9C-101B-9397-08002B2CF9AE}" pid="6" name="MSIP_Label_ac416c6e-dfd2-4f34-9c66-7e3f78f23021_SiteId">
    <vt:lpwstr>5af395c7-bcfc-43ac-98fa-a57dd56b8796</vt:lpwstr>
  </property>
  <property fmtid="{D5CDD505-2E9C-101B-9397-08002B2CF9AE}" pid="7" name="MSIP_Label_ac416c6e-dfd2-4f34-9c66-7e3f78f23021_ActionId">
    <vt:lpwstr>013e2113-afc7-4b90-8c6f-12343cfc5b04</vt:lpwstr>
  </property>
  <property fmtid="{D5CDD505-2E9C-101B-9397-08002B2CF9AE}" pid="8" name="MSIP_Label_ac416c6e-dfd2-4f34-9c66-7e3f78f23021_ContentBits">
    <vt:lpwstr>3</vt:lpwstr>
  </property>
  <property fmtid="{D5CDD505-2E9C-101B-9397-08002B2CF9AE}" pid="9" name="MSIP_Label_ac416c6e-dfd2-4f34-9c66-7e3f78f23021_Tag">
    <vt:lpwstr>10, 3, 0, 1</vt:lpwstr>
  </property>
  <property fmtid="{D5CDD505-2E9C-101B-9397-08002B2CF9AE}" pid="10" name="ContentTypeId">
    <vt:lpwstr>0x010100B3631C8727E9F341B58A864A14ECA3A9</vt:lpwstr>
  </property>
  <property fmtid="{D5CDD505-2E9C-101B-9397-08002B2CF9AE}" pid="11" name="MediaServiceImageTags">
    <vt:lpwstr/>
  </property>
</Properties>
</file>